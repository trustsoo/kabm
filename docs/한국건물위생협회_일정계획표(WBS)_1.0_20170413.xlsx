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BICUS-141\Desktop\위생협회\"/>
    </mc:Choice>
  </mc:AlternateContent>
  <bookViews>
    <workbookView xWindow="0" yWindow="0" windowWidth="20055" windowHeight="10410" tabRatio="588" activeTab="2"/>
  </bookViews>
  <sheets>
    <sheet name="표지 " sheetId="6" r:id="rId1"/>
    <sheet name="문서정보" sheetId="7" r:id="rId2"/>
    <sheet name="일정표" sheetId="10" r:id="rId3"/>
    <sheet name="WBS" sheetId="1" r:id="rId4"/>
  </sheets>
  <definedNames>
    <definedName name="_xlnm._FilterDatabase" localSheetId="3" hidden="1">WBS!$G$1:$G$111</definedName>
    <definedName name="_xlnm._FilterDatabase" localSheetId="2" hidden="1">일정표!$H$1:$H$65</definedName>
    <definedName name="CheckDay" localSheetId="2">#REF!</definedName>
    <definedName name="CheckDay">#REF!</definedName>
    <definedName name="holidays" localSheetId="2">OFFSET(#REF!,0,0,COUNTA(#REF!)-2,1)</definedName>
    <definedName name="holidays">OFFSET(#REF!,0,0,COUNTA(#REF!)-2,1)</definedName>
    <definedName name="_xlnm.Print_Area" localSheetId="3">WBS!$A$1:$Q$63</definedName>
    <definedName name="_xlnm.Print_Area" localSheetId="2">일정표!$A$1:$R$2</definedName>
    <definedName name="_xlnm.Print_Area" localSheetId="0">'표지 '!$A$1:$G$16</definedName>
    <definedName name="_xlnm.Print_Titles" localSheetId="3">WBS!$1:$5</definedName>
    <definedName name="_xlnm.Print_Titles" localSheetId="2">일정표!$1:$2</definedName>
  </definedNames>
  <calcPr calcId="152511"/>
</workbook>
</file>

<file path=xl/calcChain.xml><?xml version="1.0" encoding="utf-8"?>
<calcChain xmlns="http://schemas.openxmlformats.org/spreadsheetml/2006/main">
  <c r="Q7" i="1" l="1"/>
  <c r="O7" i="1"/>
  <c r="M7" i="1"/>
  <c r="L7" i="1"/>
  <c r="L62" i="1"/>
  <c r="J29" i="1"/>
  <c r="J30" i="1"/>
  <c r="J31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2" i="1"/>
  <c r="J23" i="1"/>
  <c r="J24" i="1"/>
  <c r="J25" i="1"/>
  <c r="J58" i="1"/>
  <c r="J57" i="1"/>
  <c r="L56" i="1"/>
  <c r="K56" i="1"/>
  <c r="I56" i="1"/>
  <c r="J28" i="1"/>
  <c r="O27" i="1"/>
  <c r="L27" i="1"/>
  <c r="K27" i="1"/>
  <c r="I27" i="1"/>
  <c r="J26" i="1"/>
  <c r="J21" i="1"/>
  <c r="O20" i="1"/>
  <c r="L20" i="1"/>
  <c r="K20" i="1"/>
  <c r="I20" i="1"/>
  <c r="A1" i="10"/>
  <c r="J56" i="1" l="1"/>
  <c r="J27" i="1"/>
  <c r="J20" i="1"/>
  <c r="K12" i="1"/>
  <c r="I16" i="1"/>
  <c r="L12" i="1"/>
  <c r="I12" i="1"/>
  <c r="J12" i="1" l="1"/>
  <c r="L8" i="1"/>
  <c r="L10" i="1"/>
  <c r="L16" i="1"/>
  <c r="L32" i="1"/>
  <c r="L59" i="1"/>
  <c r="I10" i="1"/>
  <c r="K16" i="1"/>
  <c r="I62" i="1"/>
  <c r="K62" i="1"/>
  <c r="O16" i="1"/>
  <c r="J14" i="1"/>
  <c r="J15" i="1"/>
  <c r="J63" i="1"/>
  <c r="J64" i="1"/>
  <c r="J18" i="1"/>
  <c r="J19" i="1"/>
  <c r="J61" i="1"/>
  <c r="M24" i="1" l="1"/>
  <c r="Q24" i="1" s="1"/>
  <c r="M30" i="1"/>
  <c r="Q30" i="1" s="1"/>
  <c r="M36" i="1"/>
  <c r="M40" i="1"/>
  <c r="M44" i="1"/>
  <c r="M48" i="1"/>
  <c r="M52" i="1"/>
  <c r="M25" i="1"/>
  <c r="Q25" i="1" s="1"/>
  <c r="M31" i="1"/>
  <c r="Q31" i="1" s="1"/>
  <c r="M37" i="1"/>
  <c r="M41" i="1"/>
  <c r="M45" i="1"/>
  <c r="M49" i="1"/>
  <c r="M53" i="1"/>
  <c r="M22" i="1"/>
  <c r="Q22" i="1" s="1"/>
  <c r="M26" i="1"/>
  <c r="Q26" i="1" s="1"/>
  <c r="M34" i="1"/>
  <c r="M38" i="1"/>
  <c r="M42" i="1"/>
  <c r="M46" i="1"/>
  <c r="M50" i="1"/>
  <c r="M54" i="1"/>
  <c r="M23" i="1"/>
  <c r="Q23" i="1" s="1"/>
  <c r="M29" i="1"/>
  <c r="Q29" i="1" s="1"/>
  <c r="M35" i="1"/>
  <c r="M39" i="1"/>
  <c r="M43" i="1"/>
  <c r="M47" i="1"/>
  <c r="M51" i="1"/>
  <c r="M55" i="1"/>
  <c r="M58" i="1"/>
  <c r="M57" i="1"/>
  <c r="M21" i="1"/>
  <c r="M28" i="1"/>
  <c r="L6" i="1"/>
  <c r="M60" i="1"/>
  <c r="M14" i="1"/>
  <c r="M15" i="1"/>
  <c r="M63" i="1"/>
  <c r="M64" i="1"/>
  <c r="M19" i="1"/>
  <c r="M18" i="1"/>
  <c r="M61" i="1"/>
  <c r="M11" i="1"/>
  <c r="M10" i="1" s="1"/>
  <c r="M33" i="1"/>
  <c r="M9" i="1"/>
  <c r="M8" i="1" s="1"/>
  <c r="M17" i="1"/>
  <c r="M13" i="1"/>
  <c r="K59" i="1"/>
  <c r="I59" i="1"/>
  <c r="A1" i="1"/>
  <c r="I8" i="1"/>
  <c r="I7" i="1" s="1"/>
  <c r="K8" i="1"/>
  <c r="J9" i="1"/>
  <c r="K10" i="1"/>
  <c r="J11" i="1"/>
  <c r="J13" i="1"/>
  <c r="J17" i="1"/>
  <c r="I32" i="1"/>
  <c r="K32" i="1"/>
  <c r="J33" i="1"/>
  <c r="J60" i="1"/>
  <c r="A1" i="7"/>
  <c r="O43" i="1" l="1"/>
  <c r="Q43" i="1"/>
  <c r="O51" i="1"/>
  <c r="Q51" i="1"/>
  <c r="O50" i="1"/>
  <c r="Q50" i="1"/>
  <c r="O47" i="1"/>
  <c r="Q47" i="1"/>
  <c r="Q46" i="1"/>
  <c r="O46" i="1"/>
  <c r="Q45" i="1"/>
  <c r="O45" i="1"/>
  <c r="O40" i="1"/>
  <c r="Q40" i="1"/>
  <c r="Q42" i="1"/>
  <c r="O42" i="1"/>
  <c r="Q41" i="1"/>
  <c r="O41" i="1"/>
  <c r="O52" i="1"/>
  <c r="Q52" i="1"/>
  <c r="O36" i="1"/>
  <c r="Q36" i="1"/>
  <c r="O55" i="1"/>
  <c r="Q55" i="1"/>
  <c r="O39" i="1"/>
  <c r="Q39" i="1"/>
  <c r="Q54" i="1"/>
  <c r="O54" i="1"/>
  <c r="Q38" i="1"/>
  <c r="O38" i="1"/>
  <c r="Q53" i="1"/>
  <c r="O53" i="1"/>
  <c r="Q37" i="1"/>
  <c r="O37" i="1"/>
  <c r="O48" i="1"/>
  <c r="Q48" i="1"/>
  <c r="O35" i="1"/>
  <c r="Q35" i="1"/>
  <c r="O34" i="1"/>
  <c r="Q34" i="1"/>
  <c r="Q49" i="1"/>
  <c r="O49" i="1"/>
  <c r="O44" i="1"/>
  <c r="Q44" i="1"/>
  <c r="Q57" i="1"/>
  <c r="M56" i="1"/>
  <c r="O57" i="1"/>
  <c r="Q58" i="1"/>
  <c r="O58" i="1"/>
  <c r="Q21" i="1"/>
  <c r="Q20" i="1" s="1"/>
  <c r="M20" i="1"/>
  <c r="Q28" i="1"/>
  <c r="Q27" i="1" s="1"/>
  <c r="M27" i="1"/>
  <c r="M12" i="1"/>
  <c r="M32" i="1"/>
  <c r="M59" i="1"/>
  <c r="M16" i="1"/>
  <c r="M62" i="1"/>
  <c r="Q18" i="1"/>
  <c r="Q15" i="1"/>
  <c r="O15" i="1"/>
  <c r="Q19" i="1"/>
  <c r="O14" i="1"/>
  <c r="Q14" i="1"/>
  <c r="Q64" i="1"/>
  <c r="O64" i="1"/>
  <c r="Q63" i="1"/>
  <c r="O63" i="1"/>
  <c r="O61" i="1"/>
  <c r="Q61" i="1"/>
  <c r="J62" i="1"/>
  <c r="J16" i="1"/>
  <c r="J10" i="1"/>
  <c r="J32" i="1"/>
  <c r="J8" i="1"/>
  <c r="I6" i="1"/>
  <c r="Q56" i="1" l="1"/>
  <c r="O56" i="1"/>
  <c r="Q62" i="1"/>
  <c r="M6" i="1"/>
  <c r="O62" i="1"/>
  <c r="K7" i="1"/>
  <c r="Q13" i="1" l="1"/>
  <c r="Q12" i="1" s="1"/>
  <c r="O13" i="1"/>
  <c r="O12" i="1" s="1"/>
  <c r="K6" i="1"/>
  <c r="J7" i="1"/>
  <c r="Q60" i="1"/>
  <c r="O60" i="1"/>
  <c r="Q17" i="1"/>
  <c r="Q16" i="1" s="1"/>
  <c r="Q11" i="1"/>
  <c r="Q10" i="1" s="1"/>
  <c r="O11" i="1"/>
  <c r="J59" i="1"/>
  <c r="O9" i="1"/>
  <c r="Q9" i="1"/>
  <c r="Q33" i="1"/>
  <c r="Q32" i="1" s="1"/>
  <c r="O33" i="1"/>
  <c r="O32" i="1" s="1"/>
  <c r="J6" i="1" l="1"/>
  <c r="O8" i="1"/>
  <c r="Q8" i="1"/>
  <c r="Q59" i="1"/>
  <c r="O10" i="1"/>
  <c r="O59" i="1"/>
  <c r="Q6" i="1" l="1"/>
  <c r="O6" i="1"/>
</calcChain>
</file>

<file path=xl/sharedStrings.xml><?xml version="1.0" encoding="utf-8"?>
<sst xmlns="http://schemas.openxmlformats.org/spreadsheetml/2006/main" count="358" uniqueCount="207">
  <si>
    <t>1.1</t>
  </si>
  <si>
    <t>1.2</t>
  </si>
  <si>
    <t>1.5.2</t>
  </si>
  <si>
    <t>문  서  정  보</t>
    <phoneticPr fontId="2" type="noConversion"/>
  </si>
  <si>
    <t>구분</t>
    <phoneticPr fontId="2" type="noConversion"/>
  </si>
  <si>
    <t>소속</t>
    <phoneticPr fontId="2" type="noConversion"/>
  </si>
  <si>
    <t>이름</t>
    <phoneticPr fontId="2" type="noConversion"/>
  </si>
  <si>
    <t>일자</t>
    <phoneticPr fontId="2" type="noConversion"/>
  </si>
  <si>
    <t>서명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</si>
  <si>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</si>
  <si>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</si>
  <si>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</si>
  <si>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제·개정 이력</t>
    <phoneticPr fontId="2" type="noConversion"/>
  </si>
  <si>
    <t>제·개정일</t>
    <phoneticPr fontId="2" type="noConversion"/>
  </si>
  <si>
    <t>Version</t>
    <phoneticPr fontId="2" type="noConversion"/>
  </si>
  <si>
    <t>제·개정 내용</t>
    <phoneticPr fontId="2" type="noConversion"/>
  </si>
  <si>
    <t>개정위치</t>
    <phoneticPr fontId="2" type="noConversion"/>
  </si>
  <si>
    <t>작성자</t>
    <phoneticPr fontId="2" type="noConversion"/>
  </si>
  <si>
    <t>검토자</t>
    <phoneticPr fontId="2" type="noConversion"/>
  </si>
  <si>
    <t>승인자</t>
    <phoneticPr fontId="2" type="noConversion"/>
  </si>
  <si>
    <t>최초 작성</t>
    <phoneticPr fontId="2" type="noConversion"/>
  </si>
  <si>
    <t>No</t>
    <phoneticPr fontId="2" type="noConversion"/>
  </si>
  <si>
    <t>담당자</t>
    <phoneticPr fontId="2" type="noConversion"/>
  </si>
  <si>
    <t>기간</t>
    <phoneticPr fontId="2" type="noConversion"/>
  </si>
  <si>
    <t>레벨1</t>
    <phoneticPr fontId="2" type="noConversion"/>
  </si>
  <si>
    <t>레벨2</t>
    <phoneticPr fontId="2" type="noConversion"/>
  </si>
  <si>
    <t>레벨3</t>
    <phoneticPr fontId="2" type="noConversion"/>
  </si>
  <si>
    <t>업무(Task)</t>
    <phoneticPr fontId="2" type="noConversion"/>
  </si>
  <si>
    <t>시작일</t>
    <phoneticPr fontId="2" type="noConversion"/>
  </si>
  <si>
    <t>종료일</t>
    <phoneticPr fontId="2" type="noConversion"/>
  </si>
  <si>
    <t>비율</t>
    <phoneticPr fontId="2" type="noConversion"/>
  </si>
  <si>
    <t>금주</t>
    <phoneticPr fontId="2" type="noConversion"/>
  </si>
  <si>
    <t>누적</t>
    <phoneticPr fontId="2" type="noConversion"/>
  </si>
  <si>
    <t>작업기간</t>
    <phoneticPr fontId="2" type="noConversion"/>
  </si>
  <si>
    <t>가중치적용</t>
    <phoneticPr fontId="2" type="noConversion"/>
  </si>
  <si>
    <t>작업실적</t>
    <phoneticPr fontId="2" type="noConversion"/>
  </si>
  <si>
    <t>비중</t>
    <phoneticPr fontId="2" type="noConversion"/>
  </si>
  <si>
    <t>착수</t>
    <phoneticPr fontId="2" type="noConversion"/>
  </si>
  <si>
    <t>1.1.1</t>
    <phoneticPr fontId="2" type="noConversion"/>
  </si>
  <si>
    <t>계획수립</t>
    <phoneticPr fontId="2" type="noConversion"/>
  </si>
  <si>
    <t>1.2.1</t>
    <phoneticPr fontId="2" type="noConversion"/>
  </si>
  <si>
    <t>1.3.1</t>
    <phoneticPr fontId="2" type="noConversion"/>
  </si>
  <si>
    <t>설계</t>
    <phoneticPr fontId="2" type="noConversion"/>
  </si>
  <si>
    <t>1.4.1</t>
    <phoneticPr fontId="2" type="noConversion"/>
  </si>
  <si>
    <t>개발</t>
    <phoneticPr fontId="2" type="noConversion"/>
  </si>
  <si>
    <t>1.5.1</t>
    <phoneticPr fontId="2" type="noConversion"/>
  </si>
  <si>
    <t>1.6.1</t>
    <phoneticPr fontId="2" type="noConversion"/>
  </si>
  <si>
    <t>WBS</t>
    <phoneticPr fontId="2" type="noConversion"/>
  </si>
  <si>
    <t>분석</t>
    <phoneticPr fontId="2" type="noConversion"/>
  </si>
  <si>
    <t>산출물
(개발단계:구현기능)</t>
    <phoneticPr fontId="2" type="noConversion"/>
  </si>
  <si>
    <t>WBS</t>
    <phoneticPr fontId="2" type="noConversion"/>
  </si>
  <si>
    <t>우선</t>
    <phoneticPr fontId="2" type="noConversion"/>
  </si>
  <si>
    <t>순위</t>
    <phoneticPr fontId="2" type="noConversion"/>
  </si>
  <si>
    <t>우선순위 : 중요기능 (     ) / 수용 (     ) / 검토중 (     ) / 작업완료 (     )</t>
    <phoneticPr fontId="2" type="noConversion"/>
  </si>
  <si>
    <t>상세일정계획 및 진척관리</t>
    <phoneticPr fontId="2" type="noConversion"/>
  </si>
  <si>
    <t>Version 1.0</t>
    <phoneticPr fontId="2" type="noConversion"/>
  </si>
  <si>
    <t>최성수</t>
    <phoneticPr fontId="2" type="noConversion"/>
  </si>
  <si>
    <t>최성수</t>
    <phoneticPr fontId="2" type="noConversion"/>
  </si>
  <si>
    <t>현업인터뷰</t>
    <phoneticPr fontId="2" type="noConversion"/>
  </si>
  <si>
    <t>AS-IS 기능분석</t>
    <phoneticPr fontId="2" type="noConversion"/>
  </si>
  <si>
    <t>TO-BE 요구기능분석</t>
    <phoneticPr fontId="2" type="noConversion"/>
  </si>
  <si>
    <t>아키텍처설계</t>
    <phoneticPr fontId="2" type="noConversion"/>
  </si>
  <si>
    <t>데이터설계</t>
    <phoneticPr fontId="2" type="noConversion"/>
  </si>
  <si>
    <t>데이터설계서</t>
    <phoneticPr fontId="2" type="noConversion"/>
  </si>
  <si>
    <t>개발계획</t>
    <phoneticPr fontId="2" type="noConversion"/>
  </si>
  <si>
    <t>개발환경세팅</t>
    <phoneticPr fontId="2" type="noConversion"/>
  </si>
  <si>
    <t>시험</t>
    <phoneticPr fontId="2" type="noConversion"/>
  </si>
  <si>
    <t>종료</t>
    <phoneticPr fontId="2" type="noConversion"/>
  </si>
  <si>
    <t>테스트결과서</t>
    <phoneticPr fontId="2" type="noConversion"/>
  </si>
  <si>
    <t>1.7.1</t>
    <phoneticPr fontId="2" type="noConversion"/>
  </si>
  <si>
    <t>완료</t>
    <phoneticPr fontId="2" type="noConversion"/>
  </si>
  <si>
    <t>1.7.2</t>
    <phoneticPr fontId="2" type="noConversion"/>
  </si>
  <si>
    <t>1.4.2</t>
  </si>
  <si>
    <t>1.4.4</t>
  </si>
  <si>
    <t>1.3.2</t>
  </si>
  <si>
    <t>1.3.3</t>
  </si>
  <si>
    <t>총계</t>
    <phoneticPr fontId="2" type="noConversion"/>
  </si>
  <si>
    <t>개발합계</t>
    <phoneticPr fontId="2" type="noConversion"/>
  </si>
  <si>
    <t>1.6.2</t>
  </si>
  <si>
    <t>엔트릭스</t>
    <phoneticPr fontId="2" type="noConversion"/>
  </si>
  <si>
    <t>2017.04.13</t>
    <phoneticPr fontId="2" type="noConversion"/>
  </si>
  <si>
    <t>한넷데이타시스템</t>
    <phoneticPr fontId="2" type="noConversion"/>
  </si>
  <si>
    <t>최성수</t>
    <phoneticPr fontId="2" type="noConversion"/>
  </si>
  <si>
    <t>구분</t>
    <phoneticPr fontId="2" type="noConversion"/>
  </si>
  <si>
    <t>시스템</t>
    <phoneticPr fontId="2" type="noConversion"/>
  </si>
  <si>
    <t>공통</t>
    <phoneticPr fontId="2" type="noConversion"/>
  </si>
  <si>
    <t>화면기획설계</t>
    <phoneticPr fontId="2" type="noConversion"/>
  </si>
  <si>
    <t>데이터설계</t>
    <phoneticPr fontId="2" type="noConversion"/>
  </si>
  <si>
    <t>홈페이지</t>
    <phoneticPr fontId="2" type="noConversion"/>
  </si>
  <si>
    <t>디자인</t>
    <phoneticPr fontId="2" type="noConversion"/>
  </si>
  <si>
    <t>서브디자인</t>
    <phoneticPr fontId="2" type="noConversion"/>
  </si>
  <si>
    <t>메인디자인</t>
    <phoneticPr fontId="2" type="noConversion"/>
  </si>
  <si>
    <t>CMS기반컨텐츠관리</t>
    <phoneticPr fontId="2" type="noConversion"/>
  </si>
  <si>
    <t>스크립트</t>
    <phoneticPr fontId="2" type="noConversion"/>
  </si>
  <si>
    <t>템플릿개발</t>
  </si>
  <si>
    <t>템플릿개발</t>
    <phoneticPr fontId="2" type="noConversion"/>
  </si>
  <si>
    <t>상세페이지개발</t>
  </si>
  <si>
    <t>상세페이지개발</t>
    <phoneticPr fontId="2" type="noConversion"/>
  </si>
  <si>
    <t>메인화면개발</t>
  </si>
  <si>
    <t>메인화면개발</t>
    <phoneticPr fontId="2" type="noConversion"/>
  </si>
  <si>
    <t>상세화면개발</t>
  </si>
  <si>
    <t>상세화면개발</t>
    <phoneticPr fontId="2" type="noConversion"/>
  </si>
  <si>
    <t>통합회원관리개발</t>
  </si>
  <si>
    <t>통합회원관리개발</t>
    <phoneticPr fontId="2" type="noConversion"/>
  </si>
  <si>
    <t>데이터이관</t>
    <phoneticPr fontId="2" type="noConversion"/>
  </si>
  <si>
    <t>자료데이터이관</t>
    <phoneticPr fontId="2" type="noConversion"/>
  </si>
  <si>
    <t>회원데이터이관</t>
    <phoneticPr fontId="2" type="noConversion"/>
  </si>
  <si>
    <t>멀티미디어게시판</t>
  </si>
  <si>
    <t>멀티미디어게시판</t>
    <phoneticPr fontId="2" type="noConversion"/>
  </si>
  <si>
    <t>공지사항게시판</t>
  </si>
  <si>
    <t>공지사항게시판</t>
    <phoneticPr fontId="2" type="noConversion"/>
  </si>
  <si>
    <t>FAQ</t>
  </si>
  <si>
    <t>FAQ</t>
    <phoneticPr fontId="2" type="noConversion"/>
  </si>
  <si>
    <t>개발환경구성</t>
    <phoneticPr fontId="2" type="noConversion"/>
  </si>
  <si>
    <t>환경설정</t>
    <phoneticPr fontId="2" type="noConversion"/>
  </si>
  <si>
    <t>온라인교육</t>
    <phoneticPr fontId="2" type="noConversion"/>
  </si>
  <si>
    <t>강좌수강화면디자인</t>
  </si>
  <si>
    <t>강좌수강화면디자인</t>
    <phoneticPr fontId="2" type="noConversion"/>
  </si>
  <si>
    <t>온라인평가화면디자인</t>
  </si>
  <si>
    <t>온라인평가화면디자인</t>
    <phoneticPr fontId="2" type="noConversion"/>
  </si>
  <si>
    <t>프로그램개발</t>
    <phoneticPr fontId="2" type="noConversion"/>
  </si>
  <si>
    <t>수강신청관리</t>
  </si>
  <si>
    <t>수강신청관리</t>
    <phoneticPr fontId="2" type="noConversion"/>
  </si>
  <si>
    <t>결제모듈보완개발</t>
  </si>
  <si>
    <t>결제모듈보완개발</t>
    <phoneticPr fontId="2" type="noConversion"/>
  </si>
  <si>
    <t>게시판적용</t>
  </si>
  <si>
    <t>게시판적용</t>
    <phoneticPr fontId="2" type="noConversion"/>
  </si>
  <si>
    <t>회원관리변경</t>
  </si>
  <si>
    <t>회원관리변경</t>
    <phoneticPr fontId="2" type="noConversion"/>
  </si>
  <si>
    <t>영수증/수료증 개발</t>
  </si>
  <si>
    <t>영수증/수료증 개발</t>
    <phoneticPr fontId="2" type="noConversion"/>
  </si>
  <si>
    <t>알림기능개발</t>
  </si>
  <si>
    <t>알림기능개발</t>
    <phoneticPr fontId="2" type="noConversion"/>
  </si>
  <si>
    <t>입금자동확인개발</t>
  </si>
  <si>
    <t>입금자동확인개발</t>
    <phoneticPr fontId="2" type="noConversion"/>
  </si>
  <si>
    <t>통합관리</t>
    <phoneticPr fontId="2" type="noConversion"/>
  </si>
  <si>
    <t>강좌관리개발</t>
    <phoneticPr fontId="2" type="noConversion"/>
  </si>
  <si>
    <t>회원정보관리</t>
    <phoneticPr fontId="2" type="noConversion"/>
  </si>
  <si>
    <t>멀티미디어게시판관리</t>
    <phoneticPr fontId="2" type="noConversion"/>
  </si>
  <si>
    <t>공지사항게시판관리</t>
    <phoneticPr fontId="2" type="noConversion"/>
  </si>
  <si>
    <t>FAQ/카테고리관리</t>
    <phoneticPr fontId="2" type="noConversion"/>
  </si>
  <si>
    <t>방문자통계</t>
    <phoneticPr fontId="2" type="noConversion"/>
  </si>
  <si>
    <t>업무내역</t>
    <phoneticPr fontId="2" type="noConversion"/>
  </si>
  <si>
    <t>담당</t>
    <phoneticPr fontId="2" type="noConversion"/>
  </si>
  <si>
    <t>1W</t>
    <phoneticPr fontId="2" type="noConversion"/>
  </si>
  <si>
    <t>2W</t>
    <phoneticPr fontId="2" type="noConversion"/>
  </si>
  <si>
    <t>3W</t>
    <phoneticPr fontId="2" type="noConversion"/>
  </si>
  <si>
    <t>4W</t>
  </si>
  <si>
    <t>5W</t>
  </si>
  <si>
    <t>6W</t>
  </si>
  <si>
    <t>7W</t>
  </si>
  <si>
    <t>8W</t>
  </si>
  <si>
    <t>9W</t>
  </si>
  <si>
    <t>10W</t>
  </si>
  <si>
    <t>11W</t>
  </si>
  <si>
    <t>12W</t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</si>
  <si>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</si>
  <si>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</si>
  <si>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</si>
  <si>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</si>
  <si>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13W</t>
  </si>
  <si>
    <t>홈페이지재구축</t>
    <phoneticPr fontId="2" type="noConversion"/>
  </si>
  <si>
    <t>테스트</t>
    <phoneticPr fontId="2" type="noConversion"/>
  </si>
  <si>
    <t>단위테스트</t>
    <phoneticPr fontId="2" type="noConversion"/>
  </si>
  <si>
    <t>통합테스트</t>
    <phoneticPr fontId="2" type="noConversion"/>
  </si>
  <si>
    <t>전이</t>
    <phoneticPr fontId="2" type="noConversion"/>
  </si>
  <si>
    <t>이관/오픈</t>
    <phoneticPr fontId="2" type="noConversion"/>
  </si>
  <si>
    <t>14W</t>
  </si>
  <si>
    <t>최성수</t>
    <phoneticPr fontId="2" type="noConversion"/>
  </si>
  <si>
    <t>전체</t>
    <phoneticPr fontId="2" type="noConversion"/>
  </si>
  <si>
    <t>박윤정</t>
    <phoneticPr fontId="2" type="noConversion"/>
  </si>
  <si>
    <t>김기락</t>
    <phoneticPr fontId="2" type="noConversion"/>
  </si>
  <si>
    <t>조은호</t>
    <phoneticPr fontId="2" type="noConversion"/>
  </si>
  <si>
    <t>시스템환경구성</t>
    <phoneticPr fontId="2" type="noConversion"/>
  </si>
  <si>
    <t>온라인평가화면개발</t>
  </si>
  <si>
    <t>온라인평가화면개발</t>
    <phoneticPr fontId="2" type="noConversion"/>
  </si>
  <si>
    <t>강좌수강화면개발</t>
  </si>
  <si>
    <t>강좌수강화면개발</t>
    <phoneticPr fontId="2" type="noConversion"/>
  </si>
  <si>
    <t>일정관리계획</t>
    <phoneticPr fontId="2" type="noConversion"/>
  </si>
  <si>
    <t>정봉희,최성수</t>
    <phoneticPr fontId="2" type="noConversion"/>
  </si>
  <si>
    <t>정봉희</t>
  </si>
  <si>
    <t>황기평</t>
    <phoneticPr fontId="2" type="noConversion"/>
  </si>
  <si>
    <t>0W</t>
    <phoneticPr fontId="2" type="noConversion"/>
  </si>
  <si>
    <t>설계</t>
    <phoneticPr fontId="2" type="noConversion"/>
  </si>
  <si>
    <t>착수/분석</t>
    <phoneticPr fontId="2" type="noConversion"/>
  </si>
  <si>
    <t>요구사항분석</t>
    <phoneticPr fontId="2" type="noConversion"/>
  </si>
  <si>
    <t>계획수립</t>
    <phoneticPr fontId="2" type="noConversion"/>
  </si>
  <si>
    <t>시방서</t>
    <phoneticPr fontId="2" type="noConversion"/>
  </si>
  <si>
    <t>요건정의</t>
    <phoneticPr fontId="2" type="noConversion"/>
  </si>
  <si>
    <t>업무요건정의</t>
    <phoneticPr fontId="2" type="noConversion"/>
  </si>
  <si>
    <t>화면설계</t>
    <phoneticPr fontId="2" type="noConversion"/>
  </si>
  <si>
    <t>화면설계서</t>
    <phoneticPr fontId="2" type="noConversion"/>
  </si>
  <si>
    <t>디자인</t>
    <phoneticPr fontId="2" type="noConversion"/>
  </si>
  <si>
    <t>홈페이지</t>
    <phoneticPr fontId="2" type="noConversion"/>
  </si>
  <si>
    <t>온라인교육</t>
    <phoneticPr fontId="2" type="noConversion"/>
  </si>
  <si>
    <t>메인시안</t>
    <phoneticPr fontId="2" type="noConversion"/>
  </si>
  <si>
    <t>서브디자인</t>
    <phoneticPr fontId="2" type="noConversion"/>
  </si>
  <si>
    <t>디자인파일 PSD</t>
    <phoneticPr fontId="2" type="noConversion"/>
  </si>
  <si>
    <t>HTML파일</t>
    <phoneticPr fontId="2" type="noConversion"/>
  </si>
  <si>
    <t>정봉희</t>
    <phoneticPr fontId="2" type="noConversion"/>
  </si>
  <si>
    <t>황기평</t>
    <phoneticPr fontId="2" type="noConversion"/>
  </si>
  <si>
    <t>프로그램소스</t>
    <phoneticPr fontId="2" type="noConversion"/>
  </si>
  <si>
    <t>1차데이터이관</t>
    <phoneticPr fontId="2" type="noConversion"/>
  </si>
  <si>
    <t>2차데이터이관</t>
    <phoneticPr fontId="2" type="noConversion"/>
  </si>
  <si>
    <t>운영자매뉴얼</t>
    <phoneticPr fontId="2" type="noConversion"/>
  </si>
  <si>
    <t>정봉희,최성수</t>
    <phoneticPr fontId="2" type="noConversion"/>
  </si>
  <si>
    <t>오픈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</si>
</sst>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_);[Red]\(0\)"/>
    <numFmt numFmtId="177" formatCode="0.0"/>
    <numFmt numFmtId="178" formatCode="0.0%"/>
    <numFmt numFmtId="179" formatCode="#,##0_ "/>
  </numFmts>
  <fonts count="3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1"/>
      <name val="굴림체"/>
      <family val="3"/>
      <charset val="129"/>
    </font>
    <font>
      <b/>
      <sz val="13"/>
      <name val="바탕체"/>
      <family val="1"/>
      <charset val="129"/>
    </font>
    <font>
      <b/>
      <sz val="10"/>
      <name val="바탕체"/>
      <family val="1"/>
      <charset val="129"/>
    </font>
    <font>
      <sz val="11"/>
      <name val="바탕체"/>
      <family val="1"/>
      <charset val="129"/>
    </font>
    <font>
      <b/>
      <u/>
      <sz val="14"/>
      <name val="바탕체"/>
      <family val="1"/>
      <charset val="129"/>
    </font>
    <font>
      <b/>
      <sz val="11"/>
      <name val="바탕체"/>
      <family val="1"/>
      <charset val="129"/>
    </font>
    <font>
      <sz val="11"/>
      <color indexed="22"/>
      <name val="돋움"/>
      <family val="3"/>
      <charset val="129"/>
    </font>
    <font>
      <sz val="11"/>
      <color indexed="23"/>
      <name val="돋움"/>
      <family val="3"/>
      <charset val="129"/>
    </font>
    <font>
      <sz val="12"/>
      <name val="바탕체"/>
      <family val="1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Arial"/>
      <family val="2"/>
    </font>
    <font>
      <sz val="8"/>
      <name val="바탕체"/>
      <family val="1"/>
      <charset val="129"/>
    </font>
    <font>
      <b/>
      <sz val="36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20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1"/>
      <color rgb="FF3F3F3F"/>
      <name val="맑은 고딕"/>
      <family val="2"/>
      <charset val="129"/>
      <scheme val="minor"/>
    </font>
    <font>
      <sz val="8"/>
      <name val="맑은 고딕"/>
      <family val="3"/>
      <charset val="129"/>
      <scheme val="major"/>
    </font>
    <font>
      <b/>
      <sz val="9"/>
      <color rgb="FF3F3F3F"/>
      <name val="맑은 고딕"/>
      <family val="2"/>
      <charset val="129"/>
      <scheme val="minor"/>
    </font>
    <font>
      <b/>
      <sz val="9"/>
      <color rgb="FF3F3F3F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 style="thin">
        <color rgb="FF3F3F3F"/>
      </bottom>
      <diagonal/>
    </border>
  </borders>
  <cellStyleXfs count="15">
    <xf numFmtId="0" fontId="0" fillId="0" borderId="0"/>
    <xf numFmtId="0" fontId="15" fillId="0" borderId="0"/>
    <xf numFmtId="0" fontId="10" fillId="2" borderId="0">
      <alignment horizontal="center" vertical="center"/>
    </xf>
    <xf numFmtId="49" fontId="3" fillId="0" borderId="1">
      <alignment vertical="center"/>
    </xf>
    <xf numFmtId="9" fontId="1" fillId="0" borderId="0" applyFont="0" applyFill="0" applyBorder="0" applyAlignment="0" applyProtection="0"/>
    <xf numFmtId="0" fontId="11" fillId="3" borderId="0">
      <alignment vertical="center"/>
    </xf>
    <xf numFmtId="179" fontId="3" fillId="0" borderId="1">
      <alignment horizontal="right" vertical="center"/>
    </xf>
    <xf numFmtId="0" fontId="12" fillId="0" borderId="0"/>
    <xf numFmtId="0" fontId="13" fillId="4" borderId="0">
      <alignment vertical="center"/>
    </xf>
    <xf numFmtId="0" fontId="14" fillId="5" borderId="2">
      <alignment vertical="center"/>
    </xf>
    <xf numFmtId="0" fontId="11" fillId="3" borderId="0">
      <alignment vertical="center"/>
    </xf>
    <xf numFmtId="0" fontId="1" fillId="0" borderId="0">
      <alignment vertical="center"/>
    </xf>
    <xf numFmtId="0" fontId="1" fillId="0" borderId="0" applyFill="0" applyBorder="0">
      <alignment vertical="center"/>
    </xf>
    <xf numFmtId="0" fontId="18" fillId="0" borderId="0">
      <alignment vertical="center"/>
    </xf>
    <xf numFmtId="0" fontId="31" fillId="11" borderId="31" applyNumberFormat="0" applyAlignment="0" applyProtection="0">
      <alignment vertical="center"/>
    </xf>
  </cellStyleXfs>
  <cellXfs count="166">
    <xf numFmtId="0" fontId="0" fillId="0" borderId="0" xfId="0"/>
    <xf numFmtId="0" fontId="7" fillId="0" borderId="3" xfId="0" applyFont="1" applyFill="1" applyBorder="1" applyAlignment="1">
      <alignment horizontal="center" vertical="center"/>
    </xf>
    <xf numFmtId="0" fontId="4" fillId="0" borderId="0" xfId="12" applyFont="1" applyAlignment="1">
      <alignment vertical="center"/>
    </xf>
    <xf numFmtId="0" fontId="5" fillId="0" borderId="0" xfId="12" applyFont="1" applyAlignment="1">
      <alignment horizontal="justify" vertical="top"/>
    </xf>
    <xf numFmtId="0" fontId="5" fillId="0" borderId="0" xfId="12" applyFont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7" fontId="7" fillId="0" borderId="5" xfId="0" applyNumberFormat="1" applyFont="1" applyFill="1" applyBorder="1" applyAlignment="1">
      <alignment horizontal="center" vertical="center"/>
    </xf>
    <xf numFmtId="0" fontId="16" fillId="0" borderId="0" xfId="12" applyFont="1" applyAlignment="1">
      <alignment horizontal="center"/>
    </xf>
    <xf numFmtId="0" fontId="7" fillId="0" borderId="5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9" fillId="0" borderId="6" xfId="0" applyFont="1" applyFill="1" applyBorder="1"/>
    <xf numFmtId="0" fontId="20" fillId="0" borderId="4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Fill="1" applyAlignment="1">
      <alignment horizontal="left"/>
    </xf>
    <xf numFmtId="0" fontId="21" fillId="0" borderId="0" xfId="0" applyFont="1" applyFill="1"/>
    <xf numFmtId="0" fontId="22" fillId="0" borderId="0" xfId="12" applyFont="1" applyAlignment="1">
      <alignment horizontal="center" wrapText="1"/>
    </xf>
    <xf numFmtId="0" fontId="21" fillId="0" borderId="0" xfId="0" applyFont="1" applyFill="1" applyAlignment="1">
      <alignment horizontal="center"/>
    </xf>
    <xf numFmtId="0" fontId="23" fillId="0" borderId="0" xfId="12" applyFont="1" applyAlignment="1">
      <alignment horizontal="center" vertical="center" wrapText="1"/>
    </xf>
    <xf numFmtId="0" fontId="19" fillId="0" borderId="0" xfId="0" applyFont="1" applyFill="1"/>
    <xf numFmtId="0" fontId="19" fillId="0" borderId="7" xfId="0" applyFont="1" applyFill="1" applyBorder="1" applyAlignment="1">
      <alignment horizontal="left"/>
    </xf>
    <xf numFmtId="0" fontId="19" fillId="0" borderId="6" xfId="0" applyFont="1" applyFill="1" applyBorder="1" applyAlignment="1">
      <alignment horizontal="left"/>
    </xf>
    <xf numFmtId="0" fontId="19" fillId="0" borderId="6" xfId="0" applyFont="1" applyFill="1" applyBorder="1" applyAlignment="1">
      <alignment horizontal="center"/>
    </xf>
    <xf numFmtId="14" fontId="19" fillId="0" borderId="6" xfId="0" applyNumberFormat="1" applyFont="1" applyFill="1" applyBorder="1" applyAlignment="1">
      <alignment horizontal="center"/>
    </xf>
    <xf numFmtId="176" fontId="19" fillId="0" borderId="8" xfId="0" applyNumberFormat="1" applyFont="1" applyFill="1" applyBorder="1" applyAlignment="1">
      <alignment horizontal="center"/>
    </xf>
    <xf numFmtId="178" fontId="19" fillId="0" borderId="6" xfId="0" applyNumberFormat="1" applyFont="1" applyFill="1" applyBorder="1"/>
    <xf numFmtId="178" fontId="19" fillId="0" borderId="6" xfId="4" applyNumberFormat="1" applyFont="1" applyFill="1" applyBorder="1"/>
    <xf numFmtId="9" fontId="19" fillId="0" borderId="6" xfId="4" applyFont="1" applyFill="1" applyBorder="1"/>
    <xf numFmtId="9" fontId="19" fillId="7" borderId="6" xfId="4" applyFont="1" applyFill="1" applyBorder="1"/>
    <xf numFmtId="0" fontId="19" fillId="0" borderId="9" xfId="0" applyFont="1" applyFill="1" applyBorder="1" applyAlignment="1">
      <alignment horizontal="left"/>
    </xf>
    <xf numFmtId="0" fontId="19" fillId="0" borderId="10" xfId="0" applyFont="1" applyFill="1" applyBorder="1" applyAlignment="1">
      <alignment horizontal="left"/>
    </xf>
    <xf numFmtId="0" fontId="19" fillId="0" borderId="10" xfId="0" applyFont="1" applyFill="1" applyBorder="1"/>
    <xf numFmtId="0" fontId="19" fillId="0" borderId="10" xfId="0" applyFont="1" applyFill="1" applyBorder="1" applyAlignment="1">
      <alignment horizontal="center"/>
    </xf>
    <xf numFmtId="14" fontId="19" fillId="0" borderId="10" xfId="0" applyNumberFormat="1" applyFont="1" applyFill="1" applyBorder="1" applyAlignment="1">
      <alignment horizontal="center"/>
    </xf>
    <xf numFmtId="178" fontId="19" fillId="0" borderId="10" xfId="0" applyNumberFormat="1" applyFont="1" applyFill="1" applyBorder="1"/>
    <xf numFmtId="178" fontId="19" fillId="0" borderId="10" xfId="4" applyNumberFormat="1" applyFont="1" applyFill="1" applyBorder="1"/>
    <xf numFmtId="9" fontId="19" fillId="0" borderId="10" xfId="4" applyFont="1" applyFill="1" applyBorder="1"/>
    <xf numFmtId="9" fontId="19" fillId="7" borderId="10" xfId="4" applyFont="1" applyFill="1" applyBorder="1"/>
    <xf numFmtId="0" fontId="19" fillId="0" borderId="0" xfId="0" applyFont="1" applyFill="1" applyAlignment="1">
      <alignment horizontal="left"/>
    </xf>
    <xf numFmtId="0" fontId="19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178" fontId="23" fillId="0" borderId="0" xfId="0" applyNumberFormat="1" applyFont="1" applyFill="1"/>
    <xf numFmtId="9" fontId="19" fillId="0" borderId="0" xfId="4" applyFont="1" applyFill="1"/>
    <xf numFmtId="9" fontId="21" fillId="0" borderId="0" xfId="4" applyFont="1" applyFill="1"/>
    <xf numFmtId="0" fontId="19" fillId="8" borderId="6" xfId="0" applyFont="1" applyFill="1" applyBorder="1" applyAlignment="1">
      <alignment horizontal="center"/>
    </xf>
    <xf numFmtId="14" fontId="19" fillId="8" borderId="6" xfId="0" applyNumberFormat="1" applyFont="1" applyFill="1" applyBorder="1" applyAlignment="1">
      <alignment horizontal="center"/>
    </xf>
    <xf numFmtId="176" fontId="19" fillId="8" borderId="8" xfId="0" applyNumberFormat="1" applyFont="1" applyFill="1" applyBorder="1" applyAlignment="1">
      <alignment horizontal="center"/>
    </xf>
    <xf numFmtId="178" fontId="19" fillId="8" borderId="6" xfId="0" applyNumberFormat="1" applyFont="1" applyFill="1" applyBorder="1"/>
    <xf numFmtId="178" fontId="19" fillId="8" borderId="6" xfId="4" applyNumberFormat="1" applyFont="1" applyFill="1" applyBorder="1"/>
    <xf numFmtId="0" fontId="23" fillId="8" borderId="7" xfId="0" applyFont="1" applyFill="1" applyBorder="1" applyAlignment="1">
      <alignment horizontal="left"/>
    </xf>
    <xf numFmtId="0" fontId="23" fillId="8" borderId="6" xfId="0" applyFont="1" applyFill="1" applyBorder="1" applyAlignment="1">
      <alignment horizontal="left"/>
    </xf>
    <xf numFmtId="0" fontId="23" fillId="8" borderId="6" xfId="0" applyFont="1" applyFill="1" applyBorder="1"/>
    <xf numFmtId="0" fontId="23" fillId="6" borderId="6" xfId="0" applyFont="1" applyFill="1" applyBorder="1"/>
    <xf numFmtId="0" fontId="23" fillId="8" borderId="6" xfId="0" applyFont="1" applyFill="1" applyBorder="1" applyAlignment="1">
      <alignment horizontal="center"/>
    </xf>
    <xf numFmtId="178" fontId="23" fillId="8" borderId="6" xfId="4" applyNumberFormat="1" applyFont="1" applyFill="1" applyBorder="1"/>
    <xf numFmtId="0" fontId="24" fillId="3" borderId="12" xfId="0" applyFont="1" applyFill="1" applyBorder="1" applyAlignment="1">
      <alignment horizontal="center" vertical="center" wrapText="1"/>
    </xf>
    <xf numFmtId="0" fontId="19" fillId="10" borderId="7" xfId="0" applyFont="1" applyFill="1" applyBorder="1" applyAlignment="1">
      <alignment horizontal="left"/>
    </xf>
    <xf numFmtId="0" fontId="19" fillId="10" borderId="6" xfId="0" applyFont="1" applyFill="1" applyBorder="1" applyAlignment="1">
      <alignment horizontal="left"/>
    </xf>
    <xf numFmtId="0" fontId="19" fillId="10" borderId="6" xfId="0" applyFont="1" applyFill="1" applyBorder="1"/>
    <xf numFmtId="0" fontId="19" fillId="10" borderId="6" xfId="0" applyFont="1" applyFill="1" applyBorder="1" applyAlignment="1">
      <alignment horizontal="center"/>
    </xf>
    <xf numFmtId="14" fontId="19" fillId="10" borderId="6" xfId="0" applyNumberFormat="1" applyFont="1" applyFill="1" applyBorder="1" applyAlignment="1">
      <alignment horizontal="center"/>
    </xf>
    <xf numFmtId="176" fontId="19" fillId="10" borderId="8" xfId="0" applyNumberFormat="1" applyFont="1" applyFill="1" applyBorder="1" applyAlignment="1">
      <alignment horizontal="center"/>
    </xf>
    <xf numFmtId="178" fontId="19" fillId="10" borderId="6" xfId="0" applyNumberFormat="1" applyFont="1" applyFill="1" applyBorder="1"/>
    <xf numFmtId="0" fontId="25" fillId="0" borderId="0" xfId="12" applyFont="1" applyAlignment="1">
      <alignment vertical="center"/>
    </xf>
    <xf numFmtId="0" fontId="21" fillId="0" borderId="0" xfId="12" applyFont="1" applyAlignment="1">
      <alignment vertical="center"/>
    </xf>
    <xf numFmtId="0" fontId="21" fillId="0" borderId="0" xfId="12" applyFont="1" applyAlignment="1"/>
    <xf numFmtId="0" fontId="22" fillId="0" borderId="0" xfId="12" applyFont="1" applyAlignment="1">
      <alignment vertical="center"/>
    </xf>
    <xf numFmtId="0" fontId="22" fillId="0" borderId="0" xfId="12" applyFont="1" applyAlignment="1">
      <alignment horizontal="left"/>
    </xf>
    <xf numFmtId="0" fontId="22" fillId="0" borderId="0" xfId="12" applyFont="1" applyAlignment="1">
      <alignment horizontal="right"/>
    </xf>
    <xf numFmtId="0" fontId="26" fillId="0" borderId="0" xfId="11" applyFont="1" applyBorder="1" applyAlignment="1">
      <alignment horizontal="center" vertical="center"/>
    </xf>
    <xf numFmtId="0" fontId="27" fillId="0" borderId="0" xfId="12" applyFont="1" applyBorder="1" applyAlignment="1">
      <alignment horizontal="left"/>
    </xf>
    <xf numFmtId="0" fontId="21" fillId="0" borderId="0" xfId="12" applyFont="1" applyBorder="1" applyAlignment="1">
      <alignment vertical="center"/>
    </xf>
    <xf numFmtId="0" fontId="21" fillId="0" borderId="0" xfId="12" applyFont="1" applyBorder="1" applyAlignment="1">
      <alignment horizontal="right" vertical="center"/>
    </xf>
    <xf numFmtId="0" fontId="28" fillId="0" borderId="0" xfId="12" applyFont="1" applyAlignment="1">
      <alignment vertical="top"/>
    </xf>
    <xf numFmtId="0" fontId="28" fillId="0" borderId="0" xfId="12" applyFont="1" applyAlignment="1">
      <alignment horizontal="justify" vertical="top"/>
    </xf>
    <xf numFmtId="0" fontId="27" fillId="0" borderId="0" xfId="12" applyFont="1" applyAlignment="1">
      <alignment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3" fillId="9" borderId="15" xfId="0" applyFont="1" applyFill="1" applyBorder="1" applyAlignment="1">
      <alignment horizontal="center"/>
    </xf>
    <xf numFmtId="176" fontId="19" fillId="0" borderId="16" xfId="0" applyNumberFormat="1" applyFont="1" applyFill="1" applyBorder="1" applyAlignment="1">
      <alignment horizontal="center"/>
    </xf>
    <xf numFmtId="14" fontId="30" fillId="0" borderId="19" xfId="12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right" vertical="center"/>
    </xf>
    <xf numFmtId="9" fontId="24" fillId="3" borderId="12" xfId="4" applyFont="1" applyFill="1" applyBorder="1" applyAlignment="1">
      <alignment horizontal="center" vertical="center" wrapText="1"/>
    </xf>
    <xf numFmtId="0" fontId="23" fillId="9" borderId="29" xfId="0" applyFont="1" applyFill="1" applyBorder="1" applyAlignment="1">
      <alignment horizontal="left"/>
    </xf>
    <xf numFmtId="0" fontId="23" fillId="9" borderId="30" xfId="0" applyFont="1" applyFill="1" applyBorder="1" applyAlignment="1">
      <alignment horizontal="left"/>
    </xf>
    <xf numFmtId="14" fontId="23" fillId="9" borderId="15" xfId="0" applyNumberFormat="1" applyFont="1" applyFill="1" applyBorder="1" applyAlignment="1">
      <alignment horizontal="center"/>
    </xf>
    <xf numFmtId="176" fontId="23" fillId="9" borderId="11" xfId="0" applyNumberFormat="1" applyFont="1" applyFill="1" applyBorder="1" applyAlignment="1">
      <alignment horizontal="center"/>
    </xf>
    <xf numFmtId="178" fontId="23" fillId="9" borderId="15" xfId="0" applyNumberFormat="1" applyFont="1" applyFill="1" applyBorder="1"/>
    <xf numFmtId="178" fontId="23" fillId="9" borderId="15" xfId="4" applyNumberFormat="1" applyFont="1" applyFill="1" applyBorder="1"/>
    <xf numFmtId="0" fontId="24" fillId="3" borderId="14" xfId="0" applyFont="1" applyFill="1" applyBorder="1" applyAlignment="1">
      <alignment horizontal="center" vertical="center"/>
    </xf>
    <xf numFmtId="0" fontId="17" fillId="0" borderId="0" xfId="11" applyFont="1" applyBorder="1" applyAlignment="1">
      <alignment horizontal="center" vertical="center"/>
    </xf>
    <xf numFmtId="0" fontId="29" fillId="0" borderId="0" xfId="12" applyFont="1" applyAlignment="1">
      <alignment horizontal="center"/>
    </xf>
    <xf numFmtId="0" fontId="29" fillId="0" borderId="0" xfId="11" applyFont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23" fillId="0" borderId="19" xfId="12" applyFont="1" applyBorder="1" applyAlignment="1">
      <alignment horizontal="left" vertical="center" wrapText="1"/>
    </xf>
    <xf numFmtId="0" fontId="24" fillId="3" borderId="20" xfId="0" applyFont="1" applyFill="1" applyBorder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 wrapText="1"/>
    </xf>
    <xf numFmtId="0" fontId="24" fillId="3" borderId="24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23" fillId="9" borderId="27" xfId="0" applyFont="1" applyFill="1" applyBorder="1" applyAlignment="1">
      <alignment horizontal="left"/>
    </xf>
    <xf numFmtId="0" fontId="23" fillId="9" borderId="0" xfId="0" applyFont="1" applyFill="1" applyBorder="1" applyAlignment="1">
      <alignment horizontal="left"/>
    </xf>
    <xf numFmtId="0" fontId="24" fillId="3" borderId="25" xfId="0" applyFont="1" applyFill="1" applyBorder="1" applyAlignment="1">
      <alignment horizontal="center" vertical="center"/>
    </xf>
    <xf numFmtId="0" fontId="24" fillId="3" borderId="28" xfId="0" applyFont="1" applyFill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9" fontId="19" fillId="0" borderId="0" xfId="4" applyFont="1" applyFill="1" applyAlignment="1">
      <alignment horizontal="center" vertical="center"/>
    </xf>
    <xf numFmtId="9" fontId="21" fillId="0" borderId="0" xfId="4" applyFont="1" applyFill="1" applyAlignment="1">
      <alignment horizontal="center" vertical="center"/>
    </xf>
    <xf numFmtId="0" fontId="32" fillId="0" borderId="12" xfId="0" applyFont="1" applyFill="1" applyBorder="1" applyAlignment="1">
      <alignment horizontal="center" vertical="center"/>
    </xf>
    <xf numFmtId="0" fontId="32" fillId="0" borderId="5" xfId="0" applyFont="1" applyFill="1" applyBorder="1" applyAlignment="1">
      <alignment horizontal="center" vertical="center"/>
    </xf>
    <xf numFmtId="0" fontId="32" fillId="12" borderId="5" xfId="0" applyFont="1" applyFill="1" applyBorder="1" applyAlignment="1">
      <alignment horizontal="center" vertical="center"/>
    </xf>
    <xf numFmtId="9" fontId="32" fillId="0" borderId="5" xfId="4" applyFont="1" applyFill="1" applyBorder="1" applyAlignment="1">
      <alignment horizontal="center" vertical="center"/>
    </xf>
    <xf numFmtId="0" fontId="32" fillId="0" borderId="3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2" fillId="0" borderId="14" xfId="0" applyFont="1" applyFill="1" applyBorder="1" applyAlignment="1">
      <alignment horizontal="center" vertical="center"/>
    </xf>
    <xf numFmtId="0" fontId="32" fillId="0" borderId="33" xfId="0" applyFont="1" applyFill="1" applyBorder="1" applyAlignment="1">
      <alignment horizontal="center" vertical="center"/>
    </xf>
    <xf numFmtId="0" fontId="32" fillId="15" borderId="5" xfId="0" applyFont="1" applyFill="1" applyBorder="1" applyAlignment="1">
      <alignment horizontal="center" vertical="center"/>
    </xf>
    <xf numFmtId="0" fontId="32" fillId="15" borderId="3" xfId="0" applyFont="1" applyFill="1" applyBorder="1" applyAlignment="1">
      <alignment horizontal="center" vertical="center"/>
    </xf>
    <xf numFmtId="0" fontId="32" fillId="0" borderId="14" xfId="0" applyFont="1" applyFill="1" applyBorder="1" applyAlignment="1">
      <alignment horizontal="center" vertical="center"/>
    </xf>
    <xf numFmtId="9" fontId="32" fillId="12" borderId="5" xfId="4" applyFont="1" applyFill="1" applyBorder="1" applyAlignment="1">
      <alignment horizontal="center" vertical="center"/>
    </xf>
    <xf numFmtId="0" fontId="32" fillId="0" borderId="5" xfId="0" applyFont="1" applyFill="1" applyBorder="1" applyAlignment="1">
      <alignment horizontal="center" vertical="center"/>
    </xf>
    <xf numFmtId="9" fontId="32" fillId="15" borderId="5" xfId="4" applyFont="1" applyFill="1" applyBorder="1" applyAlignment="1">
      <alignment horizontal="center" vertical="center"/>
    </xf>
    <xf numFmtId="0" fontId="33" fillId="11" borderId="31" xfId="14" applyFont="1" applyAlignment="1">
      <alignment horizontal="center" vertical="center"/>
    </xf>
    <xf numFmtId="0" fontId="34" fillId="11" borderId="35" xfId="14" applyFont="1" applyBorder="1" applyAlignment="1">
      <alignment horizontal="center" vertical="center"/>
    </xf>
    <xf numFmtId="0" fontId="34" fillId="11" borderId="5" xfId="14" applyFont="1" applyBorder="1" applyAlignment="1">
      <alignment horizontal="center" vertical="center"/>
    </xf>
    <xf numFmtId="0" fontId="34" fillId="11" borderId="32" xfId="14" applyFont="1" applyBorder="1" applyAlignment="1">
      <alignment horizontal="center" vertical="center"/>
    </xf>
    <xf numFmtId="0" fontId="34" fillId="11" borderId="32" xfId="14" applyFont="1" applyBorder="1" applyAlignment="1">
      <alignment horizontal="center" vertical="center"/>
    </xf>
    <xf numFmtId="0" fontId="34" fillId="11" borderId="36" xfId="14" applyFont="1" applyBorder="1" applyAlignment="1">
      <alignment horizontal="center" vertical="center"/>
    </xf>
    <xf numFmtId="0" fontId="34" fillId="11" borderId="34" xfId="14" applyFont="1" applyBorder="1" applyAlignment="1">
      <alignment horizontal="center" vertical="center"/>
    </xf>
    <xf numFmtId="0" fontId="34" fillId="11" borderId="5" xfId="14" applyFont="1" applyBorder="1" applyAlignment="1">
      <alignment horizontal="center" vertical="center"/>
    </xf>
    <xf numFmtId="0" fontId="32" fillId="8" borderId="5" xfId="0" applyFont="1" applyFill="1" applyBorder="1" applyAlignment="1">
      <alignment horizontal="center" vertical="center"/>
    </xf>
    <xf numFmtId="0" fontId="32" fillId="14" borderId="5" xfId="0" applyFont="1" applyFill="1" applyBorder="1" applyAlignment="1">
      <alignment horizontal="center" vertical="center"/>
    </xf>
    <xf numFmtId="0" fontId="32" fillId="13" borderId="5" xfId="0" applyFont="1" applyFill="1" applyBorder="1" applyAlignment="1">
      <alignment horizontal="center" vertical="center"/>
    </xf>
    <xf numFmtId="0" fontId="32" fillId="13" borderId="3" xfId="0" applyFont="1" applyFill="1" applyBorder="1" applyAlignment="1">
      <alignment horizontal="center" vertical="center"/>
    </xf>
    <xf numFmtId="0" fontId="32" fillId="16" borderId="5" xfId="0" applyFont="1" applyFill="1" applyBorder="1" applyAlignment="1">
      <alignment horizontal="center" vertical="center"/>
    </xf>
    <xf numFmtId="0" fontId="32" fillId="17" borderId="5" xfId="0" applyFont="1" applyFill="1" applyBorder="1" applyAlignment="1">
      <alignment horizontal="center" vertical="center"/>
    </xf>
    <xf numFmtId="0" fontId="33" fillId="11" borderId="37" xfId="14" applyFont="1" applyBorder="1" applyAlignment="1">
      <alignment horizontal="center" vertical="center"/>
    </xf>
    <xf numFmtId="0" fontId="34" fillId="11" borderId="38" xfId="14" applyFont="1" applyBorder="1" applyAlignment="1">
      <alignment horizontal="center" vertical="center"/>
    </xf>
    <xf numFmtId="0" fontId="33" fillId="11" borderId="5" xfId="14" applyFont="1" applyBorder="1" applyAlignment="1">
      <alignment horizontal="center" vertical="center"/>
    </xf>
    <xf numFmtId="0" fontId="33" fillId="11" borderId="35" xfId="14" applyFont="1" applyBorder="1" applyAlignment="1">
      <alignment horizontal="center" vertical="center"/>
    </xf>
    <xf numFmtId="0" fontId="33" fillId="11" borderId="39" xfId="14" applyFont="1" applyBorder="1" applyAlignment="1">
      <alignment horizontal="center" vertical="center"/>
    </xf>
  </cellXfs>
  <cellStyles count="15">
    <cellStyle name="Normal_Data Collection Forms" xfId="1"/>
    <cellStyle name="대제목" xfId="2"/>
    <cellStyle name="문자필드" xfId="3"/>
    <cellStyle name="백분율" xfId="4" builtinId="5"/>
    <cellStyle name="소제목" xfId="5"/>
    <cellStyle name="숫자필드" xfId="6"/>
    <cellStyle name="스타일 1" xfId="7"/>
    <cellStyle name="중제목" xfId="8"/>
    <cellStyle name="출력" xfId="14" builtinId="21"/>
    <cellStyle name="표내용" xfId="9"/>
    <cellStyle name="표제목" xfId="10"/>
    <cellStyle name="표준" xfId="0" builtinId="0"/>
    <cellStyle name="표준 2" xfId="13"/>
    <cellStyle name="표준_산출물작업기준서V0.1(070803_박수경)" xfId="11"/>
    <cellStyle name="표준_첨부3.표준문서_세로양식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0</xdr:rowOff>
    </xdr:from>
    <xdr:to>
      <xdr:col>5</xdr:col>
      <xdr:colOff>762000</xdr:colOff>
      <xdr:row>0</xdr:row>
      <xdr:rowOff>0</xdr:rowOff>
    </xdr:to>
    <xdr:pic>
      <xdr:nvPicPr>
        <xdr:cNvPr id="429372" name="Picture 1" descr="LG_CN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0"/>
          <a:ext cx="628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2</xdr:row>
      <xdr:rowOff>28575</xdr:rowOff>
    </xdr:from>
    <xdr:to>
      <xdr:col>6</xdr:col>
      <xdr:colOff>314325</xdr:colOff>
      <xdr:row>2</xdr:row>
      <xdr:rowOff>114300</xdr:rowOff>
    </xdr:to>
    <xdr:sp macro="" textlink="">
      <xdr:nvSpPr>
        <xdr:cNvPr id="2" name="직사각형 1"/>
        <xdr:cNvSpPr/>
      </xdr:nvSpPr>
      <xdr:spPr>
        <a:xfrm>
          <a:off x="5210175" y="285750"/>
          <a:ext cx="114300" cy="857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381000</xdr:colOff>
      <xdr:row>2</xdr:row>
      <xdr:rowOff>28575</xdr:rowOff>
    </xdr:from>
    <xdr:to>
      <xdr:col>8</xdr:col>
      <xdr:colOff>76200</xdr:colOff>
      <xdr:row>2</xdr:row>
      <xdr:rowOff>114300</xdr:rowOff>
    </xdr:to>
    <xdr:sp macro="" textlink="">
      <xdr:nvSpPr>
        <xdr:cNvPr id="3" name="직사각형 2"/>
        <xdr:cNvSpPr/>
      </xdr:nvSpPr>
      <xdr:spPr>
        <a:xfrm>
          <a:off x="5981700" y="285750"/>
          <a:ext cx="114300" cy="85725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9</xdr:col>
      <xdr:colOff>104775</xdr:colOff>
      <xdr:row>2</xdr:row>
      <xdr:rowOff>28575</xdr:rowOff>
    </xdr:from>
    <xdr:to>
      <xdr:col>9</xdr:col>
      <xdr:colOff>219075</xdr:colOff>
      <xdr:row>2</xdr:row>
      <xdr:rowOff>114300</xdr:rowOff>
    </xdr:to>
    <xdr:sp macro="" textlink="">
      <xdr:nvSpPr>
        <xdr:cNvPr id="4" name="직사각형 3"/>
        <xdr:cNvSpPr/>
      </xdr:nvSpPr>
      <xdr:spPr>
        <a:xfrm>
          <a:off x="6877050" y="285750"/>
          <a:ext cx="114300" cy="857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1143000</xdr:colOff>
      <xdr:row>2</xdr:row>
      <xdr:rowOff>19050</xdr:rowOff>
    </xdr:from>
    <xdr:to>
      <xdr:col>5</xdr:col>
      <xdr:colOff>1287000</xdr:colOff>
      <xdr:row>2</xdr:row>
      <xdr:rowOff>119850</xdr:rowOff>
    </xdr:to>
    <xdr:sp macro="" textlink="">
      <xdr:nvSpPr>
        <xdr:cNvPr id="7" name="TextBox 6"/>
        <xdr:cNvSpPr txBox="1"/>
      </xdr:nvSpPr>
      <xdr:spPr>
        <a:xfrm>
          <a:off x="4543425" y="276225"/>
          <a:ext cx="144000" cy="1008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tx2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ctr" anchorCtr="0"/>
        <a:lstStyle/>
        <a:p>
          <a:pPr algn="ctr"/>
          <a:r>
            <a:rPr lang="en-US" altLang="ko-KR" sz="600" b="1">
              <a:latin typeface="각진제목B" pitchFamily="18" charset="-127"/>
              <a:ea typeface="각진제목B" pitchFamily="18" charset="-127"/>
            </a:rPr>
            <a:t>O</a:t>
          </a:r>
          <a:endParaRPr lang="ko-KR" altLang="en-US" sz="600" b="1">
            <a:latin typeface="각진제목B" pitchFamily="18" charset="-127"/>
            <a:ea typeface="각진제목B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8"/>
  <sheetViews>
    <sheetView zoomScaleNormal="100" workbookViewId="0">
      <selection activeCell="C17" sqref="C17"/>
    </sheetView>
  </sheetViews>
  <sheetFormatPr defaultRowHeight="13.5" x14ac:dyDescent="0.15"/>
  <cols>
    <col min="1" max="7" width="15.77734375" style="2" customWidth="1"/>
    <col min="8" max="8" width="33" style="2" customWidth="1"/>
    <col min="9" max="16384" width="8.88671875" style="2"/>
  </cols>
  <sheetData>
    <row r="1" spans="1:7" ht="39.75" customHeight="1" x14ac:dyDescent="0.3">
      <c r="A1" s="73"/>
      <c r="B1" s="74"/>
      <c r="C1" s="75"/>
      <c r="D1" s="74"/>
      <c r="E1" s="74"/>
      <c r="F1" s="74"/>
      <c r="G1" s="74"/>
    </row>
    <row r="2" spans="1:7" ht="27" customHeight="1" x14ac:dyDescent="0.3">
      <c r="A2" s="85" t="s">
        <v>161</v>
      </c>
      <c r="B2" s="74"/>
      <c r="C2" s="75"/>
      <c r="D2" s="76"/>
      <c r="E2" s="74"/>
      <c r="F2" s="74"/>
      <c r="G2" s="74"/>
    </row>
    <row r="3" spans="1:7" ht="27" customHeight="1" x14ac:dyDescent="0.3">
      <c r="A3" s="74"/>
      <c r="B3" s="74"/>
      <c r="C3" s="75"/>
      <c r="D3" s="74"/>
      <c r="E3" s="74"/>
      <c r="F3" s="74"/>
      <c r="G3" s="74"/>
    </row>
    <row r="4" spans="1:7" ht="27" customHeight="1" x14ac:dyDescent="0.55000000000000004">
      <c r="A4" s="74"/>
      <c r="B4" s="74"/>
      <c r="C4" s="75"/>
      <c r="D4" s="77"/>
      <c r="E4" s="74"/>
      <c r="F4" s="74"/>
      <c r="G4" s="78"/>
    </row>
    <row r="5" spans="1:7" ht="39.950000000000003" customHeight="1" x14ac:dyDescent="0.15">
      <c r="A5" s="100" t="s">
        <v>54</v>
      </c>
      <c r="B5" s="100"/>
      <c r="C5" s="100"/>
      <c r="D5" s="100"/>
      <c r="E5" s="100"/>
      <c r="F5" s="100"/>
      <c r="G5" s="100"/>
    </row>
    <row r="6" spans="1:7" ht="27" customHeight="1" x14ac:dyDescent="0.15">
      <c r="A6" s="79"/>
      <c r="B6" s="79"/>
      <c r="C6" s="79"/>
      <c r="D6" s="79"/>
      <c r="E6" s="79"/>
      <c r="F6" s="79"/>
      <c r="G6" s="79"/>
    </row>
    <row r="7" spans="1:7" ht="27" customHeight="1" x14ac:dyDescent="0.15">
      <c r="A7" s="79"/>
      <c r="B7" s="79"/>
      <c r="C7" s="79"/>
      <c r="D7" s="79"/>
      <c r="E7" s="79"/>
      <c r="F7" s="79"/>
      <c r="G7" s="79"/>
    </row>
    <row r="8" spans="1:7" ht="27" customHeight="1" x14ac:dyDescent="0.35">
      <c r="A8" s="74"/>
      <c r="B8" s="74"/>
      <c r="C8" s="75"/>
      <c r="D8" s="80"/>
      <c r="E8" s="81"/>
      <c r="F8" s="81"/>
      <c r="G8" s="82"/>
    </row>
    <row r="9" spans="1:7" ht="27" customHeight="1" x14ac:dyDescent="0.5">
      <c r="A9" s="101" t="s">
        <v>55</v>
      </c>
      <c r="B9" s="101"/>
      <c r="C9" s="101"/>
      <c r="D9" s="101"/>
      <c r="E9" s="101"/>
      <c r="F9" s="101"/>
      <c r="G9" s="101"/>
    </row>
    <row r="10" spans="1:7" ht="27" customHeight="1" x14ac:dyDescent="0.15">
      <c r="A10" s="102" t="s">
        <v>80</v>
      </c>
      <c r="B10" s="102"/>
      <c r="C10" s="102"/>
      <c r="D10" s="102"/>
      <c r="E10" s="102"/>
      <c r="F10" s="102"/>
      <c r="G10" s="102"/>
    </row>
    <row r="11" spans="1:7" ht="27" customHeight="1" x14ac:dyDescent="0.15">
      <c r="A11" s="74"/>
      <c r="B11" s="74"/>
      <c r="C11" s="83"/>
      <c r="D11" s="74"/>
      <c r="E11" s="74"/>
      <c r="F11" s="84"/>
      <c r="G11" s="84"/>
    </row>
    <row r="12" spans="1:7" ht="27" customHeight="1" x14ac:dyDescent="0.15">
      <c r="A12" s="74"/>
      <c r="B12" s="74"/>
      <c r="C12" s="83"/>
      <c r="D12" s="74"/>
      <c r="E12" s="74"/>
      <c r="F12" s="84"/>
      <c r="G12" s="84"/>
    </row>
    <row r="13" spans="1:7" ht="27" customHeight="1" x14ac:dyDescent="0.15">
      <c r="A13" s="74"/>
      <c r="B13" s="74"/>
      <c r="C13" s="83"/>
      <c r="D13" s="74"/>
      <c r="E13" s="74"/>
      <c r="F13" s="84"/>
      <c r="G13" s="84"/>
    </row>
    <row r="14" spans="1:7" ht="27" customHeight="1" x14ac:dyDescent="0.15">
      <c r="A14" s="74"/>
      <c r="B14" s="74"/>
      <c r="C14" s="83"/>
      <c r="D14" s="74"/>
      <c r="E14" s="74"/>
      <c r="F14" s="84"/>
      <c r="G14" s="84"/>
    </row>
    <row r="15" spans="1:7" ht="27" customHeight="1" x14ac:dyDescent="0.15">
      <c r="A15" s="74"/>
      <c r="B15" s="74"/>
      <c r="C15" s="83"/>
      <c r="D15" s="74"/>
      <c r="E15" s="74"/>
      <c r="F15" s="84"/>
      <c r="G15" s="84"/>
    </row>
    <row r="16" spans="1:7" ht="27" customHeight="1" x14ac:dyDescent="0.15">
      <c r="A16" s="74"/>
      <c r="B16" s="74"/>
      <c r="C16" s="83"/>
      <c r="D16" s="74"/>
      <c r="E16" s="74"/>
      <c r="F16" s="84"/>
      <c r="G16" s="84"/>
    </row>
    <row r="17" spans="3:8" ht="15" customHeight="1" x14ac:dyDescent="0.15">
      <c r="C17" s="4"/>
      <c r="F17" s="3"/>
      <c r="H17" s="3"/>
    </row>
    <row r="18" spans="3:8" x14ac:dyDescent="0.15">
      <c r="H18" s="15"/>
    </row>
  </sheetData>
  <mergeCells count="3">
    <mergeCell ref="A5:G5"/>
    <mergeCell ref="A9:G9"/>
    <mergeCell ref="A10:G10"/>
  </mergeCells>
  <phoneticPr fontId="2" type="noConversion"/>
  <pageMargins left="0.98425196850393704" right="0.59055118110236227" top="0.98425196850393704" bottom="0.78740157480314965" header="0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4"/>
  <sheetViews>
    <sheetView workbookViewId="0">
      <selection activeCell="E14" sqref="E14"/>
    </sheetView>
  </sheetViews>
  <sheetFormatPr defaultRowHeight="13.5" x14ac:dyDescent="0.15"/>
  <cols>
    <col min="1" max="1" width="11" customWidth="1"/>
    <col min="2" max="2" width="8.77734375" customWidth="1"/>
    <col min="3" max="3" width="17.5546875" customWidth="1"/>
    <col min="4" max="4" width="27.6640625" customWidth="1"/>
    <col min="5" max="5" width="14.6640625" customWidth="1"/>
    <col min="6" max="8" width="10.77734375" customWidth="1"/>
  </cols>
  <sheetData>
    <row r="1" spans="1:8" s="7" customFormat="1" ht="13.5" customHeight="1" thickBot="1" x14ac:dyDescent="0.2">
      <c r="A1" s="5" t="str">
        <f>'표지 '!A2</f>
        <v>홈페이지재구축</v>
      </c>
      <c r="B1" s="5"/>
      <c r="C1" s="5"/>
      <c r="D1" s="5"/>
      <c r="E1" s="5"/>
      <c r="F1" s="5"/>
      <c r="G1" s="5"/>
      <c r="H1" s="6" t="s">
        <v>50</v>
      </c>
    </row>
    <row r="2" spans="1:8" s="7" customFormat="1" ht="9" customHeight="1" thickTop="1" x14ac:dyDescent="0.15">
      <c r="A2" s="8"/>
    </row>
    <row r="3" spans="1:8" ht="21" customHeight="1" x14ac:dyDescent="0.25">
      <c r="A3" s="106" t="s">
        <v>3</v>
      </c>
      <c r="B3" s="106"/>
      <c r="C3" s="106"/>
      <c r="D3" s="106"/>
      <c r="E3" s="106"/>
      <c r="F3" s="106"/>
      <c r="G3" s="106"/>
      <c r="H3" s="106"/>
    </row>
    <row r="4" spans="1:8" ht="7.5" customHeight="1" x14ac:dyDescent="0.25">
      <c r="A4" s="9"/>
      <c r="B4" s="9"/>
      <c r="C4" s="9"/>
      <c r="D4" s="9"/>
      <c r="E4" s="9"/>
      <c r="F4" s="9"/>
      <c r="G4" s="9"/>
      <c r="H4" s="9"/>
    </row>
    <row r="5" spans="1:8" s="12" customFormat="1" ht="21" customHeight="1" x14ac:dyDescent="0.15">
      <c r="A5" s="10" t="s">
        <v>4</v>
      </c>
      <c r="B5" s="107" t="s">
        <v>5</v>
      </c>
      <c r="C5" s="108"/>
      <c r="D5" s="11" t="s">
        <v>6</v>
      </c>
      <c r="E5" s="10" t="s">
        <v>7</v>
      </c>
      <c r="F5" s="107" t="s">
        <v>8</v>
      </c>
      <c r="G5" s="109"/>
      <c r="H5" s="108"/>
    </row>
    <row r="6" spans="1:8" s="12" customFormat="1" ht="21" customHeight="1" x14ac:dyDescent="0.15">
      <c r="A6" s="13" t="s">
        <v>9</v>
      </c>
      <c r="B6" s="103" t="s">
        <v>81</v>
      </c>
      <c r="C6" s="104"/>
      <c r="D6" s="1" t="s">
        <v>82</v>
      </c>
      <c r="E6" s="13" t="s">
        <v>80</v>
      </c>
      <c r="F6" s="103"/>
      <c r="G6" s="105"/>
      <c r="H6" s="104"/>
    </row>
    <row r="7" spans="1:8" s="12" customFormat="1" ht="21" customHeight="1" x14ac:dyDescent="0.15">
      <c r="A7" s="13" t="s">
        <v>10</v>
      </c>
      <c r="B7" s="103"/>
      <c r="C7" s="104"/>
      <c r="D7" s="1"/>
      <c r="E7" s="13"/>
      <c r="F7" s="103"/>
      <c r="G7" s="105"/>
      <c r="H7" s="104"/>
    </row>
    <row r="8" spans="1:8" s="12" customFormat="1" ht="21" customHeight="1" x14ac:dyDescent="0.15">
      <c r="A8" s="13" t="s">
        <v>11</v>
      </c>
      <c r="B8" s="103" t="s">
        <v>79</v>
      </c>
      <c r="C8" s="104"/>
      <c r="D8" s="1"/>
      <c r="E8" s="13"/>
      <c r="F8" s="103"/>
      <c r="G8" s="105"/>
      <c r="H8" s="104"/>
    </row>
    <row r="9" spans="1:8" s="7" customFormat="1" ht="8.25" customHeight="1" x14ac:dyDescent="0.15">
      <c r="A9" s="8"/>
    </row>
    <row r="10" spans="1:8" ht="21" customHeight="1" x14ac:dyDescent="0.25">
      <c r="A10" s="106" t="s">
        <v>12</v>
      </c>
      <c r="B10" s="106"/>
      <c r="C10" s="106"/>
      <c r="D10" s="106"/>
      <c r="E10" s="106"/>
      <c r="F10" s="106"/>
      <c r="G10" s="106"/>
      <c r="H10" s="106"/>
    </row>
    <row r="11" spans="1:8" ht="8.25" customHeight="1" x14ac:dyDescent="0.25">
      <c r="A11" s="9"/>
      <c r="B11" s="9"/>
      <c r="C11" s="9"/>
      <c r="D11" s="9"/>
      <c r="E11" s="9"/>
      <c r="F11" s="9"/>
      <c r="G11" s="9"/>
      <c r="H11" s="9"/>
    </row>
    <row r="12" spans="1:8" s="12" customFormat="1" ht="21" customHeight="1" x14ac:dyDescent="0.15">
      <c r="A12" s="10" t="s">
        <v>13</v>
      </c>
      <c r="B12" s="10" t="s">
        <v>14</v>
      </c>
      <c r="C12" s="107" t="s">
        <v>15</v>
      </c>
      <c r="D12" s="108"/>
      <c r="E12" s="10" t="s">
        <v>16</v>
      </c>
      <c r="F12" s="10" t="s">
        <v>17</v>
      </c>
      <c r="G12" s="10" t="s">
        <v>18</v>
      </c>
      <c r="H12" s="10" t="s">
        <v>19</v>
      </c>
    </row>
    <row r="13" spans="1:8" s="7" customFormat="1" ht="21" customHeight="1" x14ac:dyDescent="0.15">
      <c r="A13" s="13" t="s">
        <v>80</v>
      </c>
      <c r="B13" s="14">
        <v>1</v>
      </c>
      <c r="C13" s="112" t="s">
        <v>20</v>
      </c>
      <c r="D13" s="111"/>
      <c r="E13" s="13"/>
      <c r="F13" s="13" t="s">
        <v>57</v>
      </c>
      <c r="G13" s="13"/>
      <c r="H13" s="13"/>
    </row>
    <row r="14" spans="1:8" s="7" customFormat="1" ht="21" customHeight="1" x14ac:dyDescent="0.15">
      <c r="A14" s="13"/>
      <c r="B14" s="14"/>
      <c r="C14" s="110"/>
      <c r="D14" s="111"/>
      <c r="E14" s="13"/>
      <c r="F14" s="13"/>
      <c r="G14" s="13"/>
      <c r="H14" s="13"/>
    </row>
    <row r="15" spans="1:8" s="17" customFormat="1" ht="21" customHeight="1" x14ac:dyDescent="0.15">
      <c r="A15" s="16"/>
      <c r="B15" s="14"/>
      <c r="C15" s="110"/>
      <c r="D15" s="111"/>
      <c r="E15" s="16"/>
      <c r="F15" s="13"/>
      <c r="G15" s="13"/>
      <c r="H15" s="13"/>
    </row>
    <row r="16" spans="1:8" s="7" customFormat="1" ht="21" customHeight="1" x14ac:dyDescent="0.15">
      <c r="A16" s="13"/>
      <c r="B16" s="14"/>
      <c r="C16" s="103"/>
      <c r="D16" s="104"/>
      <c r="E16" s="13"/>
      <c r="F16" s="13"/>
      <c r="G16" s="13"/>
      <c r="H16" s="13"/>
    </row>
    <row r="17" spans="1:8" ht="21" customHeight="1" x14ac:dyDescent="0.15">
      <c r="A17" s="13"/>
      <c r="B17" s="14"/>
      <c r="C17" s="103"/>
      <c r="D17" s="104"/>
      <c r="E17" s="13"/>
      <c r="F17" s="13"/>
      <c r="G17" s="13"/>
      <c r="H17" s="13"/>
    </row>
    <row r="18" spans="1:8" ht="21" customHeight="1" x14ac:dyDescent="0.15">
      <c r="A18" s="13"/>
      <c r="B18" s="14"/>
      <c r="C18" s="103"/>
      <c r="D18" s="104"/>
      <c r="E18" s="13"/>
      <c r="F18" s="13"/>
      <c r="G18" s="13"/>
      <c r="H18" s="13"/>
    </row>
    <row r="19" spans="1:8" ht="21" customHeight="1" x14ac:dyDescent="0.15">
      <c r="A19" s="13"/>
      <c r="B19" s="14"/>
      <c r="C19" s="103"/>
      <c r="D19" s="104"/>
      <c r="E19" s="13"/>
      <c r="F19" s="13"/>
      <c r="G19" s="13"/>
      <c r="H19" s="13"/>
    </row>
    <row r="20" spans="1:8" ht="21" customHeight="1" x14ac:dyDescent="0.15">
      <c r="A20" s="13"/>
      <c r="B20" s="14"/>
      <c r="C20" s="103"/>
      <c r="D20" s="104"/>
      <c r="E20" s="13"/>
      <c r="F20" s="13"/>
      <c r="G20" s="13"/>
      <c r="H20" s="13"/>
    </row>
    <row r="21" spans="1:8" ht="21" customHeight="1" x14ac:dyDescent="0.15">
      <c r="A21" s="13"/>
      <c r="B21" s="14"/>
      <c r="C21" s="103"/>
      <c r="D21" s="104"/>
      <c r="E21" s="13"/>
      <c r="F21" s="13"/>
      <c r="G21" s="13"/>
      <c r="H21" s="13"/>
    </row>
    <row r="22" spans="1:8" ht="21" customHeight="1" x14ac:dyDescent="0.15">
      <c r="A22" s="13"/>
      <c r="B22" s="14"/>
      <c r="C22" s="103"/>
      <c r="D22" s="104"/>
      <c r="E22" s="13"/>
      <c r="F22" s="13"/>
      <c r="G22" s="13"/>
      <c r="H22" s="13"/>
    </row>
    <row r="23" spans="1:8" ht="21" customHeight="1" x14ac:dyDescent="0.15">
      <c r="A23" s="13"/>
      <c r="B23" s="14"/>
      <c r="C23" s="103"/>
      <c r="D23" s="104"/>
      <c r="E23" s="13"/>
      <c r="F23" s="13"/>
      <c r="G23" s="13"/>
      <c r="H23" s="13"/>
    </row>
    <row r="24" spans="1:8" ht="21" customHeight="1" x14ac:dyDescent="0.15">
      <c r="A24" s="13"/>
      <c r="B24" s="14"/>
      <c r="C24" s="103"/>
      <c r="D24" s="104"/>
      <c r="E24" s="13"/>
      <c r="F24" s="13"/>
      <c r="G24" s="13"/>
      <c r="H24" s="13"/>
    </row>
  </sheetData>
  <mergeCells count="23">
    <mergeCell ref="C23:D23"/>
    <mergeCell ref="C24:D24"/>
    <mergeCell ref="C19:D19"/>
    <mergeCell ref="C20:D20"/>
    <mergeCell ref="C21:D21"/>
    <mergeCell ref="C22:D22"/>
    <mergeCell ref="C15:D15"/>
    <mergeCell ref="C16:D16"/>
    <mergeCell ref="C17:D17"/>
    <mergeCell ref="C18:D18"/>
    <mergeCell ref="A10:H10"/>
    <mergeCell ref="C12:D12"/>
    <mergeCell ref="C13:D13"/>
    <mergeCell ref="C14:D14"/>
    <mergeCell ref="B7:C7"/>
    <mergeCell ref="F7:H7"/>
    <mergeCell ref="B8:C8"/>
    <mergeCell ref="F8:H8"/>
    <mergeCell ref="A3:H3"/>
    <mergeCell ref="B5:C5"/>
    <mergeCell ref="F5:H5"/>
    <mergeCell ref="B6:C6"/>
    <mergeCell ref="F6:H6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Footer>&amp;L&amp;9PL01&amp;RGS네오텍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tabSelected="1" zoomScale="110" zoomScaleNormal="110" zoomScaleSheetLayoutView="100" workbookViewId="0">
      <selection activeCell="N48" sqref="N48"/>
    </sheetView>
  </sheetViews>
  <sheetFormatPr defaultColWidth="26.6640625" defaultRowHeight="16.5" x14ac:dyDescent="0.3"/>
  <cols>
    <col min="1" max="1" width="11.88671875" style="24" customWidth="1"/>
    <col min="2" max="2" width="9.33203125" style="24" bestFit="1" customWidth="1"/>
    <col min="3" max="3" width="13.88671875" style="24" bestFit="1" customWidth="1"/>
    <col min="4" max="4" width="7.5546875" style="25" customWidth="1"/>
    <col min="5" max="5" width="4.21875" style="25" customWidth="1"/>
    <col min="6" max="6" width="4.21875" style="27" customWidth="1"/>
    <col min="7" max="7" width="4.21875" style="25" customWidth="1"/>
    <col min="8" max="13" width="4.21875" style="27" customWidth="1"/>
    <col min="14" max="15" width="4.21875" style="25" customWidth="1"/>
    <col min="16" max="18" width="4.21875" style="53" customWidth="1"/>
    <col min="19" max="20" width="4.21875" style="25" customWidth="1"/>
    <col min="21" max="16384" width="26.6640625" style="25"/>
  </cols>
  <sheetData>
    <row r="1" spans="1:20" s="22" customFormat="1" ht="13.5" customHeight="1" thickBot="1" x14ac:dyDescent="0.2">
      <c r="A1" s="19" t="str">
        <f>'표지 '!A2</f>
        <v>홈페이지재구축</v>
      </c>
      <c r="B1" s="19"/>
      <c r="C1" s="19"/>
      <c r="D1" s="19"/>
      <c r="E1" s="19"/>
      <c r="F1" s="20"/>
      <c r="G1" s="19"/>
      <c r="H1" s="20"/>
      <c r="I1" s="20"/>
      <c r="J1" s="20"/>
      <c r="K1" s="20"/>
      <c r="L1" s="20"/>
      <c r="M1" s="20"/>
      <c r="N1" s="19"/>
      <c r="O1" s="19"/>
      <c r="P1" s="19"/>
      <c r="Q1" s="19"/>
      <c r="R1" s="91" t="s">
        <v>47</v>
      </c>
    </row>
    <row r="2" spans="1:20" s="22" customFormat="1" ht="6.75" customHeight="1" thickTop="1" x14ac:dyDescent="0.15">
      <c r="A2" s="23"/>
      <c r="F2" s="23"/>
      <c r="H2" s="23"/>
      <c r="I2" s="23"/>
      <c r="J2" s="23"/>
      <c r="K2" s="23"/>
      <c r="L2" s="23"/>
      <c r="M2" s="23"/>
    </row>
    <row r="3" spans="1:20" s="23" customFormat="1" ht="5.25" customHeight="1" x14ac:dyDescent="0.15"/>
    <row r="4" spans="1:20" s="130" customFormat="1" ht="12.75" customHeight="1" x14ac:dyDescent="0.15">
      <c r="A4" s="163" t="s">
        <v>84</v>
      </c>
      <c r="B4" s="161" t="s">
        <v>83</v>
      </c>
      <c r="C4" s="147" t="s">
        <v>142</v>
      </c>
      <c r="D4" s="147" t="s">
        <v>143</v>
      </c>
      <c r="E4" s="164" t="s">
        <v>156</v>
      </c>
      <c r="F4" s="165"/>
      <c r="G4" s="165"/>
      <c r="H4" s="161"/>
      <c r="I4" s="147" t="s">
        <v>157</v>
      </c>
      <c r="J4" s="147"/>
      <c r="K4" s="147"/>
      <c r="L4" s="147"/>
      <c r="M4" s="147"/>
      <c r="N4" s="147" t="s">
        <v>158</v>
      </c>
      <c r="O4" s="147"/>
      <c r="P4" s="147"/>
      <c r="Q4" s="148"/>
      <c r="R4" s="149" t="s">
        <v>159</v>
      </c>
      <c r="S4" s="149"/>
      <c r="T4" s="149"/>
    </row>
    <row r="5" spans="1:20" s="130" customFormat="1" ht="12.75" customHeight="1" x14ac:dyDescent="0.15">
      <c r="A5" s="149"/>
      <c r="B5" s="162"/>
      <c r="C5" s="150"/>
      <c r="D5" s="150"/>
      <c r="E5" s="151" t="s">
        <v>182</v>
      </c>
      <c r="F5" s="151" t="s">
        <v>182</v>
      </c>
      <c r="G5" s="151" t="s">
        <v>144</v>
      </c>
      <c r="H5" s="151" t="s">
        <v>145</v>
      </c>
      <c r="I5" s="151" t="s">
        <v>146</v>
      </c>
      <c r="J5" s="151" t="s">
        <v>147</v>
      </c>
      <c r="K5" s="151" t="s">
        <v>148</v>
      </c>
      <c r="L5" s="151" t="s">
        <v>149</v>
      </c>
      <c r="M5" s="151" t="s">
        <v>150</v>
      </c>
      <c r="N5" s="151" t="s">
        <v>151</v>
      </c>
      <c r="O5" s="151" t="s">
        <v>152</v>
      </c>
      <c r="P5" s="151" t="s">
        <v>153</v>
      </c>
      <c r="Q5" s="151" t="s">
        <v>154</v>
      </c>
      <c r="R5" s="152" t="s">
        <v>155</v>
      </c>
      <c r="S5" s="153" t="s">
        <v>160</v>
      </c>
      <c r="T5" s="154" t="s">
        <v>167</v>
      </c>
    </row>
    <row r="6" spans="1:20" s="138" customFormat="1" ht="13.5" customHeight="1" x14ac:dyDescent="0.15">
      <c r="A6" s="145" t="s">
        <v>85</v>
      </c>
      <c r="B6" s="133" t="s">
        <v>184</v>
      </c>
      <c r="C6" s="134" t="s">
        <v>185</v>
      </c>
      <c r="D6" s="135" t="s">
        <v>168</v>
      </c>
      <c r="E6" s="135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6"/>
      <c r="Q6" s="136"/>
      <c r="R6" s="136"/>
      <c r="S6" s="137"/>
      <c r="T6" s="134"/>
    </row>
    <row r="7" spans="1:20" s="138" customFormat="1" ht="12" customHeight="1" x14ac:dyDescent="0.15">
      <c r="A7" s="145"/>
      <c r="B7" s="140"/>
      <c r="C7" s="134" t="s">
        <v>186</v>
      </c>
      <c r="D7" s="135" t="s">
        <v>168</v>
      </c>
      <c r="E7" s="134"/>
      <c r="F7" s="135"/>
      <c r="G7" s="134"/>
      <c r="H7" s="134"/>
      <c r="I7" s="134"/>
      <c r="J7" s="134"/>
      <c r="K7" s="134"/>
      <c r="L7" s="134"/>
      <c r="M7" s="134"/>
      <c r="N7" s="134"/>
      <c r="O7" s="134"/>
      <c r="P7" s="136"/>
      <c r="Q7" s="136"/>
      <c r="R7" s="136"/>
      <c r="S7" s="137"/>
      <c r="T7" s="134"/>
    </row>
    <row r="8" spans="1:20" s="138" customFormat="1" ht="11.25" x14ac:dyDescent="0.15">
      <c r="A8" s="145"/>
      <c r="B8" s="133" t="s">
        <v>183</v>
      </c>
      <c r="C8" s="134" t="s">
        <v>86</v>
      </c>
      <c r="D8" s="135" t="s">
        <v>168</v>
      </c>
      <c r="E8" s="134"/>
      <c r="F8" s="134"/>
      <c r="G8" s="135"/>
      <c r="H8" s="135"/>
      <c r="I8" s="134"/>
      <c r="J8" s="134"/>
      <c r="K8" s="134"/>
      <c r="L8" s="134"/>
      <c r="M8" s="134"/>
      <c r="N8" s="134"/>
      <c r="O8" s="134"/>
      <c r="P8" s="136"/>
      <c r="Q8" s="136"/>
      <c r="R8" s="136"/>
      <c r="S8" s="137"/>
      <c r="T8" s="134"/>
    </row>
    <row r="9" spans="1:20" s="138" customFormat="1" ht="11.25" x14ac:dyDescent="0.15">
      <c r="A9" s="145"/>
      <c r="B9" s="140"/>
      <c r="C9" s="134" t="s">
        <v>87</v>
      </c>
      <c r="D9" s="135" t="s">
        <v>168</v>
      </c>
      <c r="E9" s="134"/>
      <c r="F9" s="134"/>
      <c r="G9" s="134"/>
      <c r="H9" s="135"/>
      <c r="I9" s="134"/>
      <c r="J9" s="134"/>
      <c r="K9" s="134"/>
      <c r="L9" s="134"/>
      <c r="M9" s="134"/>
      <c r="N9" s="134"/>
      <c r="O9" s="134"/>
      <c r="P9" s="136"/>
      <c r="Q9" s="136"/>
      <c r="R9" s="136"/>
      <c r="S9" s="137"/>
      <c r="T9" s="134"/>
    </row>
    <row r="10" spans="1:20" s="138" customFormat="1" ht="11.25" x14ac:dyDescent="0.15">
      <c r="A10" s="145"/>
      <c r="B10" s="133" t="s">
        <v>114</v>
      </c>
      <c r="C10" s="134" t="s">
        <v>113</v>
      </c>
      <c r="D10" s="135" t="s">
        <v>168</v>
      </c>
      <c r="E10" s="134"/>
      <c r="F10" s="134"/>
      <c r="G10" s="134"/>
      <c r="H10" s="134"/>
      <c r="I10" s="135"/>
      <c r="J10" s="134"/>
      <c r="K10" s="134"/>
      <c r="L10" s="134"/>
      <c r="M10" s="134"/>
      <c r="N10" s="134"/>
      <c r="O10" s="134"/>
      <c r="P10" s="136"/>
      <c r="Q10" s="136"/>
      <c r="R10" s="136"/>
      <c r="S10" s="137"/>
      <c r="T10" s="134"/>
    </row>
    <row r="11" spans="1:20" s="138" customFormat="1" ht="11.25" x14ac:dyDescent="0.15">
      <c r="A11" s="145"/>
      <c r="B11" s="140"/>
      <c r="C11" s="134" t="s">
        <v>173</v>
      </c>
      <c r="D11" s="141" t="s">
        <v>180</v>
      </c>
      <c r="E11" s="134"/>
      <c r="F11" s="134"/>
      <c r="G11" s="141"/>
      <c r="H11" s="141"/>
      <c r="I11" s="134"/>
      <c r="J11" s="134"/>
      <c r="K11" s="134"/>
      <c r="L11" s="134"/>
      <c r="M11" s="134"/>
      <c r="N11" s="134"/>
      <c r="O11" s="134"/>
      <c r="P11" s="136"/>
      <c r="Q11" s="136"/>
      <c r="R11" s="136"/>
      <c r="S11" s="137"/>
      <c r="T11" s="134"/>
    </row>
    <row r="12" spans="1:20" s="138" customFormat="1" ht="11.25" x14ac:dyDescent="0.15">
      <c r="A12" s="145"/>
      <c r="B12" s="133" t="s">
        <v>104</v>
      </c>
      <c r="C12" s="134" t="s">
        <v>105</v>
      </c>
      <c r="D12" s="141" t="s">
        <v>180</v>
      </c>
      <c r="E12" s="134"/>
      <c r="F12" s="134"/>
      <c r="G12" s="134"/>
      <c r="H12" s="134"/>
      <c r="I12" s="134"/>
      <c r="J12" s="134"/>
      <c r="K12" s="134"/>
      <c r="L12" s="134"/>
      <c r="M12" s="134"/>
      <c r="N12" s="141"/>
      <c r="O12" s="134"/>
      <c r="P12" s="136"/>
      <c r="Q12" s="136"/>
      <c r="R12" s="136"/>
      <c r="S12" s="142"/>
      <c r="T12" s="134"/>
    </row>
    <row r="13" spans="1:20" s="138" customFormat="1" ht="11.25" x14ac:dyDescent="0.15">
      <c r="A13" s="145"/>
      <c r="B13" s="140"/>
      <c r="C13" s="134" t="s">
        <v>106</v>
      </c>
      <c r="D13" s="141" t="s">
        <v>180</v>
      </c>
      <c r="E13" s="134"/>
      <c r="F13" s="134"/>
      <c r="G13" s="134"/>
      <c r="H13" s="134"/>
      <c r="I13" s="134"/>
      <c r="J13" s="134"/>
      <c r="K13" s="134"/>
      <c r="L13" s="134"/>
      <c r="M13" s="134"/>
      <c r="N13" s="141"/>
      <c r="O13" s="134"/>
      <c r="P13" s="136"/>
      <c r="Q13" s="136"/>
      <c r="R13" s="136"/>
      <c r="S13" s="142"/>
      <c r="T13" s="134"/>
    </row>
    <row r="14" spans="1:20" s="138" customFormat="1" ht="11.25" x14ac:dyDescent="0.15">
      <c r="A14" s="145"/>
      <c r="B14" s="133" t="s">
        <v>162</v>
      </c>
      <c r="C14" s="134" t="s">
        <v>163</v>
      </c>
      <c r="D14" s="157" t="s">
        <v>169</v>
      </c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6"/>
      <c r="Q14" s="136"/>
      <c r="R14" s="157"/>
      <c r="S14" s="137"/>
      <c r="T14" s="134"/>
    </row>
    <row r="15" spans="1:20" s="138" customFormat="1" ht="11.25" x14ac:dyDescent="0.15">
      <c r="A15" s="145"/>
      <c r="B15" s="140"/>
      <c r="C15" s="134" t="s">
        <v>164</v>
      </c>
      <c r="D15" s="157" t="s">
        <v>169</v>
      </c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6"/>
      <c r="Q15" s="136"/>
      <c r="R15" s="136"/>
      <c r="S15" s="158"/>
      <c r="T15" s="134"/>
    </row>
    <row r="16" spans="1:20" s="138" customFormat="1" ht="11.25" x14ac:dyDescent="0.15">
      <c r="A16" s="145"/>
      <c r="B16" s="143" t="s">
        <v>165</v>
      </c>
      <c r="C16" s="134" t="s">
        <v>166</v>
      </c>
      <c r="D16" s="157" t="s">
        <v>169</v>
      </c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6"/>
      <c r="Q16" s="136"/>
      <c r="R16" s="136"/>
      <c r="S16" s="136"/>
      <c r="T16" s="158"/>
    </row>
    <row r="17" spans="1:20" s="138" customFormat="1" ht="11.25" x14ac:dyDescent="0.15">
      <c r="A17" s="133" t="s">
        <v>88</v>
      </c>
      <c r="B17" s="133" t="s">
        <v>89</v>
      </c>
      <c r="C17" s="134" t="s">
        <v>91</v>
      </c>
      <c r="D17" s="156" t="s">
        <v>170</v>
      </c>
      <c r="E17" s="134"/>
      <c r="F17" s="134"/>
      <c r="G17" s="134"/>
      <c r="H17" s="134"/>
      <c r="I17" s="156"/>
      <c r="J17" s="156"/>
      <c r="K17" s="134"/>
      <c r="L17" s="134"/>
      <c r="M17" s="134"/>
      <c r="N17" s="134"/>
      <c r="O17" s="134"/>
      <c r="P17" s="136"/>
      <c r="Q17" s="136"/>
      <c r="R17" s="136"/>
      <c r="S17" s="137"/>
      <c r="T17" s="134"/>
    </row>
    <row r="18" spans="1:20" s="138" customFormat="1" ht="11.25" x14ac:dyDescent="0.15">
      <c r="A18" s="139"/>
      <c r="B18" s="140"/>
      <c r="C18" s="134" t="s">
        <v>90</v>
      </c>
      <c r="D18" s="156" t="s">
        <v>170</v>
      </c>
      <c r="E18" s="134"/>
      <c r="F18" s="134"/>
      <c r="G18" s="134"/>
      <c r="H18" s="134"/>
      <c r="I18" s="134"/>
      <c r="J18" s="134"/>
      <c r="K18" s="156"/>
      <c r="L18" s="134"/>
      <c r="M18" s="134"/>
      <c r="N18" s="134"/>
      <c r="O18" s="134"/>
      <c r="P18" s="136"/>
      <c r="Q18" s="136"/>
      <c r="R18" s="136"/>
      <c r="S18" s="137"/>
      <c r="T18" s="134"/>
    </row>
    <row r="19" spans="1:20" s="138" customFormat="1" ht="11.25" x14ac:dyDescent="0.15">
      <c r="A19" s="139"/>
      <c r="B19" s="133" t="s">
        <v>93</v>
      </c>
      <c r="C19" s="134" t="s">
        <v>95</v>
      </c>
      <c r="D19" s="155" t="s">
        <v>171</v>
      </c>
      <c r="E19" s="134"/>
      <c r="F19" s="134"/>
      <c r="G19" s="134"/>
      <c r="H19" s="134"/>
      <c r="I19" s="134"/>
      <c r="J19" s="134"/>
      <c r="K19" s="155"/>
      <c r="L19" s="134"/>
      <c r="M19" s="134"/>
      <c r="N19" s="134"/>
      <c r="O19" s="134"/>
      <c r="P19" s="136"/>
      <c r="Q19" s="136"/>
      <c r="R19" s="136"/>
      <c r="S19" s="137"/>
      <c r="T19" s="134"/>
    </row>
    <row r="20" spans="1:20" s="138" customFormat="1" ht="11.25" x14ac:dyDescent="0.15">
      <c r="A20" s="139"/>
      <c r="B20" s="140"/>
      <c r="C20" s="134" t="s">
        <v>97</v>
      </c>
      <c r="D20" s="155" t="s">
        <v>171</v>
      </c>
      <c r="E20" s="134"/>
      <c r="F20" s="134"/>
      <c r="G20" s="134"/>
      <c r="H20" s="134"/>
      <c r="I20" s="134"/>
      <c r="J20" s="134"/>
      <c r="K20" s="134"/>
      <c r="L20" s="155"/>
      <c r="M20" s="155"/>
      <c r="N20" s="134"/>
      <c r="O20" s="134"/>
      <c r="P20" s="136"/>
      <c r="Q20" s="136"/>
      <c r="R20" s="136"/>
      <c r="S20" s="137"/>
      <c r="T20" s="134"/>
    </row>
    <row r="21" spans="1:20" s="138" customFormat="1" ht="11.25" x14ac:dyDescent="0.15">
      <c r="A21" s="139"/>
      <c r="B21" s="133" t="s">
        <v>120</v>
      </c>
      <c r="C21" s="134" t="s">
        <v>108</v>
      </c>
      <c r="D21" s="159" t="s">
        <v>172</v>
      </c>
      <c r="E21" s="134"/>
      <c r="F21" s="134"/>
      <c r="G21" s="134"/>
      <c r="H21" s="134"/>
      <c r="I21" s="134"/>
      <c r="J21" s="134"/>
      <c r="K21" s="134"/>
      <c r="L21" s="134"/>
      <c r="M21" s="134"/>
      <c r="N21" s="159"/>
      <c r="O21" s="134"/>
      <c r="P21" s="136"/>
      <c r="Q21" s="136"/>
      <c r="R21" s="136"/>
      <c r="S21" s="137"/>
      <c r="T21" s="134"/>
    </row>
    <row r="22" spans="1:20" s="138" customFormat="1" ht="11.25" x14ac:dyDescent="0.15">
      <c r="A22" s="139"/>
      <c r="B22" s="139"/>
      <c r="C22" s="134" t="s">
        <v>110</v>
      </c>
      <c r="D22" s="159" t="s">
        <v>172</v>
      </c>
      <c r="E22" s="134"/>
      <c r="F22" s="134"/>
      <c r="G22" s="134"/>
      <c r="H22" s="134"/>
      <c r="I22" s="134"/>
      <c r="J22" s="134"/>
      <c r="K22" s="134"/>
      <c r="L22" s="134"/>
      <c r="M22" s="134"/>
      <c r="N22" s="159"/>
      <c r="O22" s="134"/>
      <c r="P22" s="136"/>
      <c r="Q22" s="136"/>
      <c r="R22" s="136"/>
      <c r="S22" s="137"/>
      <c r="T22" s="134"/>
    </row>
    <row r="23" spans="1:20" s="138" customFormat="1" ht="11.25" x14ac:dyDescent="0.15">
      <c r="A23" s="139"/>
      <c r="B23" s="139"/>
      <c r="C23" s="134" t="s">
        <v>112</v>
      </c>
      <c r="D23" s="159" t="s">
        <v>172</v>
      </c>
      <c r="E23" s="134"/>
      <c r="F23" s="134"/>
      <c r="G23" s="134"/>
      <c r="H23" s="134"/>
      <c r="I23" s="134"/>
      <c r="J23" s="134"/>
      <c r="K23" s="134"/>
      <c r="L23" s="134"/>
      <c r="M23" s="134"/>
      <c r="N23" s="159"/>
      <c r="O23" s="134"/>
      <c r="P23" s="136"/>
      <c r="Q23" s="136"/>
      <c r="R23" s="136"/>
      <c r="S23" s="137"/>
      <c r="T23" s="134"/>
    </row>
    <row r="24" spans="1:20" s="138" customFormat="1" ht="11.25" x14ac:dyDescent="0.15">
      <c r="A24" s="139"/>
      <c r="B24" s="139"/>
      <c r="C24" s="134" t="s">
        <v>99</v>
      </c>
      <c r="D24" s="159" t="s">
        <v>172</v>
      </c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59"/>
      <c r="P24" s="136"/>
      <c r="Q24" s="136"/>
      <c r="R24" s="136"/>
      <c r="S24" s="137"/>
      <c r="T24" s="134"/>
    </row>
    <row r="25" spans="1:20" s="138" customFormat="1" ht="11.25" x14ac:dyDescent="0.15">
      <c r="A25" s="139"/>
      <c r="B25" s="139"/>
      <c r="C25" s="134" t="s">
        <v>101</v>
      </c>
      <c r="D25" s="159" t="s">
        <v>172</v>
      </c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59"/>
      <c r="Q25" s="136"/>
      <c r="R25" s="136"/>
      <c r="S25" s="137"/>
      <c r="T25" s="134"/>
    </row>
    <row r="26" spans="1:20" s="138" customFormat="1" ht="11.25" x14ac:dyDescent="0.15">
      <c r="A26" s="140"/>
      <c r="B26" s="140"/>
      <c r="C26" s="134" t="s">
        <v>103</v>
      </c>
      <c r="D26" s="135" t="s">
        <v>168</v>
      </c>
      <c r="E26" s="134"/>
      <c r="F26" s="134"/>
      <c r="G26" s="134"/>
      <c r="H26" s="134"/>
      <c r="I26" s="134"/>
      <c r="J26" s="134"/>
      <c r="K26" s="134"/>
      <c r="L26" s="135"/>
      <c r="M26" s="135"/>
      <c r="N26" s="134"/>
      <c r="O26" s="134"/>
      <c r="P26" s="136"/>
      <c r="Q26" s="136"/>
      <c r="R26" s="136"/>
      <c r="S26" s="137"/>
      <c r="T26" s="134"/>
    </row>
    <row r="27" spans="1:20" s="138" customFormat="1" ht="11.25" x14ac:dyDescent="0.15">
      <c r="A27" s="133" t="s">
        <v>115</v>
      </c>
      <c r="B27" s="133" t="s">
        <v>89</v>
      </c>
      <c r="C27" s="134" t="s">
        <v>91</v>
      </c>
      <c r="D27" s="156" t="s">
        <v>170</v>
      </c>
      <c r="E27" s="134"/>
      <c r="F27" s="134"/>
      <c r="G27" s="134"/>
      <c r="H27" s="134"/>
      <c r="I27" s="134"/>
      <c r="J27" s="134"/>
      <c r="K27" s="156"/>
      <c r="L27" s="156"/>
      <c r="M27" s="134"/>
      <c r="N27" s="134"/>
      <c r="O27" s="134"/>
      <c r="P27" s="136"/>
      <c r="Q27" s="136"/>
      <c r="R27" s="136"/>
      <c r="S27" s="137"/>
      <c r="T27" s="134"/>
    </row>
    <row r="28" spans="1:20" s="138" customFormat="1" ht="11.25" x14ac:dyDescent="0.15">
      <c r="A28" s="139"/>
      <c r="B28" s="139"/>
      <c r="C28" s="134" t="s">
        <v>90</v>
      </c>
      <c r="D28" s="156" t="s">
        <v>170</v>
      </c>
      <c r="E28" s="134"/>
      <c r="F28" s="134"/>
      <c r="G28" s="134"/>
      <c r="H28" s="134"/>
      <c r="I28" s="134"/>
      <c r="J28" s="134"/>
      <c r="K28" s="134"/>
      <c r="L28" s="156"/>
      <c r="M28" s="134"/>
      <c r="N28" s="134"/>
      <c r="O28" s="134"/>
      <c r="P28" s="136"/>
      <c r="Q28" s="136"/>
      <c r="R28" s="136"/>
      <c r="S28" s="137"/>
      <c r="T28" s="134"/>
    </row>
    <row r="29" spans="1:20" s="138" customFormat="1" ht="11.25" x14ac:dyDescent="0.15">
      <c r="A29" s="139"/>
      <c r="B29" s="139"/>
      <c r="C29" s="134" t="s">
        <v>117</v>
      </c>
      <c r="D29" s="156" t="s">
        <v>170</v>
      </c>
      <c r="E29" s="134"/>
      <c r="F29" s="134"/>
      <c r="G29" s="134"/>
      <c r="H29" s="134"/>
      <c r="I29" s="134"/>
      <c r="J29" s="134"/>
      <c r="K29" s="134"/>
      <c r="L29" s="134"/>
      <c r="M29" s="156"/>
      <c r="N29" s="134"/>
      <c r="O29" s="134"/>
      <c r="P29" s="136"/>
      <c r="Q29" s="136"/>
      <c r="R29" s="136"/>
      <c r="S29" s="137"/>
      <c r="T29" s="134"/>
    </row>
    <row r="30" spans="1:20" s="138" customFormat="1" ht="11.25" x14ac:dyDescent="0.15">
      <c r="A30" s="139"/>
      <c r="B30" s="140"/>
      <c r="C30" s="134" t="s">
        <v>119</v>
      </c>
      <c r="D30" s="156" t="s">
        <v>170</v>
      </c>
      <c r="E30" s="134"/>
      <c r="F30" s="134"/>
      <c r="G30" s="134"/>
      <c r="H30" s="134"/>
      <c r="I30" s="134"/>
      <c r="J30" s="134"/>
      <c r="K30" s="134"/>
      <c r="L30" s="134"/>
      <c r="M30" s="156"/>
      <c r="N30" s="134"/>
      <c r="O30" s="134"/>
      <c r="P30" s="136"/>
      <c r="Q30" s="136"/>
      <c r="R30" s="136"/>
      <c r="S30" s="137"/>
      <c r="T30" s="134"/>
    </row>
    <row r="31" spans="1:20" s="138" customFormat="1" ht="11.25" x14ac:dyDescent="0.15">
      <c r="A31" s="139"/>
      <c r="B31" s="133" t="s">
        <v>93</v>
      </c>
      <c r="C31" s="134" t="s">
        <v>95</v>
      </c>
      <c r="D31" s="155" t="s">
        <v>171</v>
      </c>
      <c r="E31" s="134"/>
      <c r="F31" s="134"/>
      <c r="G31" s="134"/>
      <c r="H31" s="134"/>
      <c r="I31" s="134"/>
      <c r="J31" s="134"/>
      <c r="K31" s="134"/>
      <c r="L31" s="134"/>
      <c r="M31" s="134"/>
      <c r="N31" s="155"/>
      <c r="O31" s="134"/>
      <c r="P31" s="136"/>
      <c r="Q31" s="136"/>
      <c r="R31" s="136"/>
      <c r="S31" s="137"/>
      <c r="T31" s="134"/>
    </row>
    <row r="32" spans="1:20" s="138" customFormat="1" ht="11.25" x14ac:dyDescent="0.15">
      <c r="A32" s="139"/>
      <c r="B32" s="140"/>
      <c r="C32" s="134" t="s">
        <v>97</v>
      </c>
      <c r="D32" s="155" t="s">
        <v>171</v>
      </c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55"/>
      <c r="P32" s="136"/>
      <c r="Q32" s="136"/>
      <c r="R32" s="136"/>
      <c r="S32" s="137"/>
      <c r="T32" s="134"/>
    </row>
    <row r="33" spans="1:20" s="138" customFormat="1" ht="11.25" x14ac:dyDescent="0.15">
      <c r="A33" s="139"/>
      <c r="B33" s="133" t="s">
        <v>120</v>
      </c>
      <c r="C33" s="134" t="s">
        <v>124</v>
      </c>
      <c r="D33" s="135" t="s">
        <v>168</v>
      </c>
      <c r="E33" s="134"/>
      <c r="F33" s="134"/>
      <c r="G33" s="134"/>
      <c r="H33" s="134"/>
      <c r="I33" s="135"/>
      <c r="J33" s="135"/>
      <c r="K33" s="134"/>
      <c r="L33" s="134"/>
      <c r="M33" s="134"/>
      <c r="N33" s="134"/>
      <c r="O33" s="134"/>
      <c r="P33" s="136"/>
      <c r="Q33" s="136"/>
      <c r="R33" s="136"/>
      <c r="S33" s="137"/>
      <c r="T33" s="134"/>
    </row>
    <row r="34" spans="1:20" s="138" customFormat="1" ht="11.25" x14ac:dyDescent="0.15">
      <c r="A34" s="139"/>
      <c r="B34" s="139"/>
      <c r="C34" s="134" t="s">
        <v>134</v>
      </c>
      <c r="D34" s="135" t="s">
        <v>168</v>
      </c>
      <c r="E34" s="134"/>
      <c r="F34" s="134"/>
      <c r="G34" s="134"/>
      <c r="H34" s="134"/>
      <c r="I34" s="134"/>
      <c r="J34" s="135"/>
      <c r="K34" s="134"/>
      <c r="L34" s="134"/>
      <c r="M34" s="134"/>
      <c r="N34" s="134"/>
      <c r="O34" s="134"/>
      <c r="P34" s="136"/>
      <c r="Q34" s="136"/>
      <c r="R34" s="136"/>
      <c r="S34" s="137"/>
      <c r="T34" s="134"/>
    </row>
    <row r="35" spans="1:20" s="138" customFormat="1" ht="11.25" x14ac:dyDescent="0.15">
      <c r="A35" s="139"/>
      <c r="B35" s="139"/>
      <c r="C35" s="134" t="s">
        <v>130</v>
      </c>
      <c r="D35" s="135" t="s">
        <v>168</v>
      </c>
      <c r="E35" s="134"/>
      <c r="F35" s="134"/>
      <c r="G35" s="134"/>
      <c r="H35" s="134"/>
      <c r="I35" s="134"/>
      <c r="J35" s="134"/>
      <c r="K35" s="135"/>
      <c r="L35" s="135"/>
      <c r="M35" s="134"/>
      <c r="N35" s="134"/>
      <c r="O35" s="134"/>
      <c r="P35" s="136"/>
      <c r="Q35" s="136"/>
      <c r="R35" s="136"/>
      <c r="S35" s="137"/>
      <c r="T35" s="134"/>
    </row>
    <row r="36" spans="1:20" s="138" customFormat="1" ht="11.25" x14ac:dyDescent="0.15">
      <c r="A36" s="139"/>
      <c r="B36" s="139"/>
      <c r="C36" s="134" t="s">
        <v>126</v>
      </c>
      <c r="D36" s="159" t="s">
        <v>172</v>
      </c>
      <c r="E36" s="134"/>
      <c r="F36" s="134"/>
      <c r="G36" s="134"/>
      <c r="H36" s="134"/>
      <c r="I36" s="134"/>
      <c r="J36" s="134"/>
      <c r="K36" s="134"/>
      <c r="L36" s="134"/>
      <c r="M36" s="134"/>
      <c r="N36" s="159"/>
      <c r="O36" s="134"/>
      <c r="P36" s="136"/>
      <c r="Q36" s="136"/>
      <c r="R36" s="136"/>
      <c r="S36" s="137"/>
      <c r="T36" s="134"/>
    </row>
    <row r="37" spans="1:20" s="138" customFormat="1" ht="11.25" x14ac:dyDescent="0.15">
      <c r="A37" s="139"/>
      <c r="B37" s="139"/>
      <c r="C37" s="134" t="s">
        <v>128</v>
      </c>
      <c r="D37" s="135" t="s">
        <v>168</v>
      </c>
      <c r="E37" s="134"/>
      <c r="F37" s="134"/>
      <c r="G37" s="134"/>
      <c r="H37" s="134"/>
      <c r="I37" s="134"/>
      <c r="J37" s="134"/>
      <c r="K37" s="134"/>
      <c r="L37" s="135"/>
      <c r="M37" s="135"/>
      <c r="N37" s="134"/>
      <c r="O37" s="134"/>
      <c r="P37" s="136"/>
      <c r="Q37" s="136"/>
      <c r="R37" s="136"/>
      <c r="S37" s="137"/>
      <c r="T37" s="134"/>
    </row>
    <row r="38" spans="1:20" s="138" customFormat="1" ht="11.25" x14ac:dyDescent="0.15">
      <c r="A38" s="139"/>
      <c r="B38" s="139"/>
      <c r="C38" s="134" t="s">
        <v>132</v>
      </c>
      <c r="D38" s="135" t="s">
        <v>168</v>
      </c>
      <c r="E38" s="134"/>
      <c r="F38" s="134"/>
      <c r="G38" s="134"/>
      <c r="H38" s="134"/>
      <c r="I38" s="134"/>
      <c r="J38" s="134"/>
      <c r="K38" s="134"/>
      <c r="L38" s="134"/>
      <c r="M38" s="135"/>
      <c r="N38" s="136"/>
      <c r="O38" s="136"/>
      <c r="P38" s="136"/>
      <c r="Q38" s="136"/>
      <c r="R38" s="136"/>
      <c r="S38" s="137"/>
      <c r="T38" s="134"/>
    </row>
    <row r="39" spans="1:20" s="138" customFormat="1" ht="11.25" x14ac:dyDescent="0.15">
      <c r="A39" s="139"/>
      <c r="B39" s="139"/>
      <c r="C39" s="134" t="s">
        <v>122</v>
      </c>
      <c r="D39" s="135" t="s">
        <v>168</v>
      </c>
      <c r="E39" s="134"/>
      <c r="F39" s="134"/>
      <c r="G39" s="134"/>
      <c r="H39" s="134"/>
      <c r="I39" s="134"/>
      <c r="J39" s="134"/>
      <c r="K39" s="134"/>
      <c r="L39" s="134"/>
      <c r="M39" s="134"/>
      <c r="N39" s="135"/>
      <c r="O39" s="136"/>
      <c r="P39" s="136"/>
      <c r="Q39" s="136"/>
      <c r="R39" s="136"/>
      <c r="S39" s="137"/>
      <c r="T39" s="134"/>
    </row>
    <row r="40" spans="1:20" s="138" customFormat="1" ht="11.25" x14ac:dyDescent="0.15">
      <c r="A40" s="139"/>
      <c r="B40" s="139"/>
      <c r="C40" s="134" t="s">
        <v>177</v>
      </c>
      <c r="D40" s="135" t="s">
        <v>168</v>
      </c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5"/>
      <c r="P40" s="136"/>
      <c r="Q40" s="136"/>
      <c r="R40" s="136"/>
      <c r="S40" s="137"/>
      <c r="T40" s="134"/>
    </row>
    <row r="41" spans="1:20" s="138" customFormat="1" ht="11.25" x14ac:dyDescent="0.15">
      <c r="A41" s="139"/>
      <c r="B41" s="139"/>
      <c r="C41" s="134" t="s">
        <v>175</v>
      </c>
      <c r="D41" s="135" t="s">
        <v>168</v>
      </c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44"/>
      <c r="Q41" s="144"/>
      <c r="R41" s="136"/>
      <c r="S41" s="137"/>
      <c r="T41" s="134"/>
    </row>
    <row r="42" spans="1:20" s="138" customFormat="1" ht="11.25" x14ac:dyDescent="0.15">
      <c r="A42" s="145" t="s">
        <v>135</v>
      </c>
      <c r="B42" s="145" t="s">
        <v>120</v>
      </c>
      <c r="C42" s="134" t="s">
        <v>136</v>
      </c>
      <c r="D42" s="141" t="s">
        <v>180</v>
      </c>
      <c r="E42" s="134"/>
      <c r="F42" s="134"/>
      <c r="G42" s="134"/>
      <c r="H42" s="134"/>
      <c r="I42" s="141"/>
      <c r="J42" s="141"/>
      <c r="K42" s="141"/>
      <c r="L42" s="141"/>
      <c r="M42" s="141"/>
      <c r="N42" s="134"/>
      <c r="O42" s="134"/>
      <c r="P42" s="136"/>
      <c r="Q42" s="136"/>
      <c r="R42" s="136"/>
      <c r="S42" s="137"/>
      <c r="T42" s="134"/>
    </row>
    <row r="43" spans="1:20" s="138" customFormat="1" ht="11.25" x14ac:dyDescent="0.15">
      <c r="A43" s="145"/>
      <c r="B43" s="145"/>
      <c r="C43" s="134" t="s">
        <v>137</v>
      </c>
      <c r="D43" s="141" t="s">
        <v>180</v>
      </c>
      <c r="E43" s="134"/>
      <c r="F43" s="134"/>
      <c r="G43" s="134"/>
      <c r="H43" s="134"/>
      <c r="I43" s="134"/>
      <c r="J43" s="134"/>
      <c r="K43" s="134"/>
      <c r="L43" s="134"/>
      <c r="M43" s="134"/>
      <c r="N43" s="141"/>
      <c r="O43" s="141"/>
      <c r="P43" s="146"/>
      <c r="Q43" s="146"/>
      <c r="R43" s="136"/>
      <c r="S43" s="137"/>
      <c r="T43" s="134"/>
    </row>
    <row r="44" spans="1:20" s="138" customFormat="1" ht="11.25" x14ac:dyDescent="0.15">
      <c r="A44" s="145"/>
      <c r="B44" s="145"/>
      <c r="C44" s="134" t="s">
        <v>138</v>
      </c>
      <c r="D44" s="159" t="s">
        <v>172</v>
      </c>
      <c r="E44" s="134"/>
      <c r="F44" s="134"/>
      <c r="G44" s="134"/>
      <c r="H44" s="134"/>
      <c r="I44" s="159"/>
      <c r="J44" s="159"/>
      <c r="K44" s="159"/>
      <c r="L44" s="134"/>
      <c r="M44" s="134"/>
      <c r="N44" s="134"/>
      <c r="O44" s="134"/>
      <c r="P44" s="136"/>
      <c r="Q44" s="136"/>
      <c r="R44" s="136"/>
      <c r="S44" s="137"/>
      <c r="T44" s="134"/>
    </row>
    <row r="45" spans="1:20" s="138" customFormat="1" ht="11.25" x14ac:dyDescent="0.15">
      <c r="A45" s="145"/>
      <c r="B45" s="145"/>
      <c r="C45" s="134" t="s">
        <v>139</v>
      </c>
      <c r="D45" s="159" t="s">
        <v>172</v>
      </c>
      <c r="E45" s="134"/>
      <c r="F45" s="134"/>
      <c r="G45" s="134"/>
      <c r="H45" s="134"/>
      <c r="I45" s="134"/>
      <c r="J45" s="134"/>
      <c r="K45" s="134"/>
      <c r="L45" s="159"/>
      <c r="M45" s="134"/>
      <c r="N45" s="134"/>
      <c r="O45" s="134"/>
      <c r="P45" s="136"/>
      <c r="Q45" s="136"/>
      <c r="R45" s="136"/>
      <c r="S45" s="137"/>
      <c r="T45" s="134"/>
    </row>
    <row r="46" spans="1:20" s="138" customFormat="1" ht="11.25" x14ac:dyDescent="0.15">
      <c r="A46" s="145"/>
      <c r="B46" s="145"/>
      <c r="C46" s="134" t="s">
        <v>140</v>
      </c>
      <c r="D46" s="159" t="s">
        <v>172</v>
      </c>
      <c r="E46" s="134"/>
      <c r="F46" s="134"/>
      <c r="G46" s="134"/>
      <c r="H46" s="134"/>
      <c r="I46" s="134"/>
      <c r="J46" s="134"/>
      <c r="K46" s="134"/>
      <c r="L46" s="134"/>
      <c r="M46" s="159"/>
      <c r="N46" s="134"/>
      <c r="O46" s="136"/>
      <c r="P46" s="136"/>
      <c r="Q46" s="136"/>
      <c r="R46" s="136"/>
      <c r="S46" s="137"/>
      <c r="T46" s="134"/>
    </row>
    <row r="47" spans="1:20" s="138" customFormat="1" ht="11.25" x14ac:dyDescent="0.15">
      <c r="A47" s="145"/>
      <c r="B47" s="145"/>
      <c r="C47" s="134" t="s">
        <v>92</v>
      </c>
      <c r="D47" s="160" t="s">
        <v>181</v>
      </c>
      <c r="E47" s="134"/>
      <c r="F47" s="134"/>
      <c r="G47" s="134"/>
      <c r="H47" s="134"/>
      <c r="I47" s="160"/>
      <c r="J47" s="160"/>
      <c r="K47" s="160"/>
      <c r="L47" s="160"/>
      <c r="M47" s="160"/>
      <c r="N47" s="134"/>
      <c r="O47" s="134"/>
      <c r="P47" s="136"/>
      <c r="Q47" s="136"/>
      <c r="R47" s="136"/>
      <c r="S47" s="137"/>
      <c r="T47" s="134"/>
    </row>
    <row r="48" spans="1:20" s="138" customFormat="1" ht="11.25" x14ac:dyDescent="0.15">
      <c r="A48" s="145"/>
      <c r="B48" s="145"/>
      <c r="C48" s="134" t="s">
        <v>141</v>
      </c>
      <c r="D48" s="160" t="s">
        <v>181</v>
      </c>
      <c r="E48" s="134"/>
      <c r="F48" s="134"/>
      <c r="G48" s="134"/>
      <c r="H48" s="134"/>
      <c r="I48" s="134"/>
      <c r="J48" s="134"/>
      <c r="K48" s="134"/>
      <c r="L48" s="134"/>
      <c r="M48" s="134"/>
      <c r="N48" s="160"/>
      <c r="O48" s="160"/>
      <c r="P48" s="136"/>
      <c r="Q48" s="136"/>
      <c r="R48" s="136"/>
      <c r="S48" s="137"/>
      <c r="T48" s="134"/>
    </row>
    <row r="49" spans="1:18" s="130" customFormat="1" x14ac:dyDescent="0.15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31"/>
      <c r="Q49" s="131"/>
      <c r="R49" s="131"/>
    </row>
    <row r="50" spans="1:18" s="130" customFormat="1" x14ac:dyDescent="0.15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31"/>
      <c r="Q50" s="131"/>
      <c r="R50" s="131"/>
    </row>
    <row r="51" spans="1:18" s="130" customFormat="1" x14ac:dyDescent="0.15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31"/>
      <c r="Q51" s="131"/>
      <c r="R51" s="131"/>
    </row>
    <row r="52" spans="1:18" s="130" customFormat="1" x14ac:dyDescent="0.15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31"/>
      <c r="Q52" s="131"/>
      <c r="R52" s="131"/>
    </row>
    <row r="53" spans="1:18" s="130" customFormat="1" x14ac:dyDescent="0.15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31"/>
      <c r="Q53" s="131"/>
      <c r="R53" s="131"/>
    </row>
    <row r="54" spans="1:18" s="130" customFormat="1" x14ac:dyDescent="0.15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31"/>
      <c r="Q54" s="131"/>
      <c r="R54" s="131"/>
    </row>
    <row r="55" spans="1:18" s="130" customFormat="1" x14ac:dyDescent="0.15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31"/>
      <c r="Q55" s="131"/>
      <c r="R55" s="131"/>
    </row>
    <row r="56" spans="1:18" s="130" customFormat="1" x14ac:dyDescent="0.15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31"/>
      <c r="Q56" s="131"/>
      <c r="R56" s="131"/>
    </row>
    <row r="57" spans="1:18" s="130" customFormat="1" x14ac:dyDescent="0.15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31"/>
      <c r="Q57" s="131"/>
      <c r="R57" s="131"/>
    </row>
    <row r="58" spans="1:18" s="130" customFormat="1" x14ac:dyDescent="0.15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31"/>
      <c r="Q58" s="131"/>
      <c r="R58" s="131"/>
    </row>
    <row r="59" spans="1:18" s="130" customFormat="1" x14ac:dyDescent="0.15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31"/>
      <c r="Q59" s="131"/>
      <c r="R59" s="131"/>
    </row>
    <row r="60" spans="1:18" s="130" customFormat="1" x14ac:dyDescent="0.15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31"/>
      <c r="Q60" s="131"/>
      <c r="R60" s="131"/>
    </row>
    <row r="61" spans="1:18" s="130" customFormat="1" x14ac:dyDescent="0.15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31"/>
      <c r="Q61" s="131"/>
      <c r="R61" s="131"/>
    </row>
    <row r="62" spans="1:18" s="130" customFormat="1" x14ac:dyDescent="0.15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31"/>
      <c r="Q62" s="131"/>
      <c r="R62" s="131"/>
    </row>
    <row r="63" spans="1:18" s="130" customFormat="1" x14ac:dyDescent="0.15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31"/>
      <c r="Q63" s="131"/>
      <c r="R63" s="131"/>
    </row>
    <row r="64" spans="1:18" s="130" customFormat="1" x14ac:dyDescent="0.15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31"/>
      <c r="Q64" s="131"/>
      <c r="R64" s="131"/>
    </row>
    <row r="65" spans="1:18" s="130" customFormat="1" x14ac:dyDescent="0.15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31"/>
      <c r="Q65" s="131"/>
      <c r="R65" s="131"/>
    </row>
    <row r="66" spans="1:18" s="130" customFormat="1" x14ac:dyDescent="0.15">
      <c r="P66" s="132"/>
      <c r="Q66" s="132"/>
      <c r="R66" s="132"/>
    </row>
    <row r="67" spans="1:18" s="130" customFormat="1" x14ac:dyDescent="0.15">
      <c r="P67" s="132"/>
      <c r="Q67" s="132"/>
      <c r="R67" s="132"/>
    </row>
    <row r="68" spans="1:18" s="130" customFormat="1" x14ac:dyDescent="0.15">
      <c r="P68" s="132"/>
      <c r="Q68" s="132"/>
      <c r="R68" s="132"/>
    </row>
    <row r="69" spans="1:18" s="130" customFormat="1" x14ac:dyDescent="0.15">
      <c r="P69" s="132"/>
      <c r="Q69" s="132"/>
      <c r="R69" s="132"/>
    </row>
    <row r="70" spans="1:18" s="130" customFormat="1" x14ac:dyDescent="0.15">
      <c r="P70" s="132"/>
      <c r="Q70" s="132"/>
      <c r="R70" s="132"/>
    </row>
    <row r="71" spans="1:18" s="130" customFormat="1" x14ac:dyDescent="0.15">
      <c r="P71" s="132"/>
      <c r="Q71" s="132"/>
      <c r="R71" s="132"/>
    </row>
    <row r="72" spans="1:18" s="130" customFormat="1" x14ac:dyDescent="0.15">
      <c r="P72" s="132"/>
      <c r="Q72" s="132"/>
      <c r="R72" s="132"/>
    </row>
  </sheetData>
  <mergeCells count="24">
    <mergeCell ref="B10:B11"/>
    <mergeCell ref="B6:B7"/>
    <mergeCell ref="A6:A16"/>
    <mergeCell ref="E4:H4"/>
    <mergeCell ref="A17:A26"/>
    <mergeCell ref="A27:A41"/>
    <mergeCell ref="A42:A48"/>
    <mergeCell ref="B42:B48"/>
    <mergeCell ref="B33:B41"/>
    <mergeCell ref="B31:B32"/>
    <mergeCell ref="B27:B30"/>
    <mergeCell ref="B21:B26"/>
    <mergeCell ref="B19:B20"/>
    <mergeCell ref="B17:B18"/>
    <mergeCell ref="A4:A5"/>
    <mergeCell ref="B4:B5"/>
    <mergeCell ref="C4:C5"/>
    <mergeCell ref="D4:D5"/>
    <mergeCell ref="B8:B9"/>
    <mergeCell ref="B12:B13"/>
    <mergeCell ref="B14:B15"/>
    <mergeCell ref="I4:M4"/>
    <mergeCell ref="N4:Q4"/>
    <mergeCell ref="R4:T4"/>
  </mergeCells>
  <phoneticPr fontId="2" type="noConversion"/>
  <printOptions horizontalCentered="1"/>
  <pageMargins left="0.59055118110236227" right="0.59055118110236227" top="0.98425196850393704" bottom="0.59055118110236227" header="0.31496062992125984" footer="0.31496062992125984"/>
  <pageSetup paperSize="9" scale="75" orientation="landscape" r:id="rId1"/>
  <headerFooter alignWithMargins="0">
    <oddFooter>&amp;LLH공사&amp;C  
- &amp;P -
&amp;R(주)유비커스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111"/>
  <sheetViews>
    <sheetView zoomScale="110" zoomScaleNormal="110" zoomScaleSheetLayoutView="100" workbookViewId="0">
      <selection activeCell="B2" sqref="B2"/>
    </sheetView>
  </sheetViews>
  <sheetFormatPr defaultColWidth="26.6640625" defaultRowHeight="16.5" x14ac:dyDescent="0.3"/>
  <cols>
    <col min="1" max="1" width="6" style="24" customWidth="1"/>
    <col min="2" max="2" width="7.33203125" style="24" bestFit="1" customWidth="1"/>
    <col min="3" max="4" width="9.6640625" style="24" customWidth="1"/>
    <col min="5" max="5" width="18.109375" style="25" bestFit="1" customWidth="1"/>
    <col min="6" max="6" width="18.77734375" style="25" customWidth="1"/>
    <col min="7" max="7" width="9.6640625" style="27" bestFit="1" customWidth="1"/>
    <col min="8" max="8" width="4.88671875" style="27" bestFit="1" customWidth="1"/>
    <col min="9" max="9" width="8.77734375" style="27" customWidth="1"/>
    <col min="10" max="10" width="6" style="27" bestFit="1" customWidth="1"/>
    <col min="11" max="11" width="9.21875" style="27" customWidth="1"/>
    <col min="12" max="12" width="6.44140625" style="27" bestFit="1" customWidth="1"/>
    <col min="13" max="13" width="6.33203125" style="25" bestFit="1" customWidth="1"/>
    <col min="14" max="14" width="5.44140625" style="25" customWidth="1"/>
    <col min="15" max="17" width="5.88671875" style="53" customWidth="1"/>
    <col min="18" max="18" width="4.6640625" style="25" bestFit="1" customWidth="1"/>
    <col min="19" max="19" width="17.88671875" style="25" bestFit="1" customWidth="1"/>
    <col min="20" max="16384" width="26.6640625" style="25"/>
  </cols>
  <sheetData>
    <row r="1" spans="1:17" s="22" customFormat="1" ht="13.5" customHeight="1" thickBot="1" x14ac:dyDescent="0.2">
      <c r="A1" s="19" t="str">
        <f>'표지 '!A2</f>
        <v>홈페이지재구축</v>
      </c>
      <c r="B1" s="19"/>
      <c r="C1" s="19"/>
      <c r="D1" s="19"/>
      <c r="E1" s="19"/>
      <c r="F1" s="19"/>
      <c r="G1" s="20"/>
      <c r="H1" s="20"/>
      <c r="I1" s="20"/>
      <c r="J1" s="20"/>
      <c r="K1" s="20"/>
      <c r="L1" s="20"/>
      <c r="M1" s="19"/>
      <c r="N1" s="19"/>
      <c r="O1" s="19"/>
      <c r="P1" s="19"/>
      <c r="Q1" s="91" t="s">
        <v>47</v>
      </c>
    </row>
    <row r="2" spans="1:17" s="22" customFormat="1" ht="6.75" customHeight="1" thickTop="1" x14ac:dyDescent="0.15">
      <c r="A2" s="23"/>
      <c r="G2" s="23"/>
      <c r="H2" s="23"/>
      <c r="I2" s="23"/>
      <c r="J2" s="23"/>
      <c r="K2" s="23"/>
      <c r="L2" s="23"/>
    </row>
    <row r="3" spans="1:17" ht="12" customHeight="1" thickBot="1" x14ac:dyDescent="0.6">
      <c r="F3" s="113" t="s">
        <v>53</v>
      </c>
      <c r="G3" s="113"/>
      <c r="H3" s="113"/>
      <c r="I3" s="113"/>
      <c r="J3" s="113"/>
      <c r="K3" s="28"/>
      <c r="L3" s="26"/>
      <c r="M3" s="26"/>
      <c r="N3" s="26"/>
      <c r="O3" s="26"/>
      <c r="P3" s="28"/>
      <c r="Q3" s="90"/>
    </row>
    <row r="4" spans="1:17" ht="18.75" customHeight="1" x14ac:dyDescent="0.3">
      <c r="A4" s="124" t="s">
        <v>21</v>
      </c>
      <c r="B4" s="114" t="s">
        <v>27</v>
      </c>
      <c r="C4" s="115"/>
      <c r="D4" s="115"/>
      <c r="E4" s="116"/>
      <c r="F4" s="128" t="s">
        <v>49</v>
      </c>
      <c r="G4" s="126" t="s">
        <v>22</v>
      </c>
      <c r="H4" s="86" t="s">
        <v>51</v>
      </c>
      <c r="I4" s="119" t="s">
        <v>33</v>
      </c>
      <c r="J4" s="120"/>
      <c r="K4" s="121"/>
      <c r="L4" s="117" t="s">
        <v>34</v>
      </c>
      <c r="M4" s="118"/>
      <c r="N4" s="119" t="s">
        <v>35</v>
      </c>
      <c r="O4" s="120"/>
      <c r="P4" s="120"/>
      <c r="Q4" s="121"/>
    </row>
    <row r="5" spans="1:17" s="21" customFormat="1" x14ac:dyDescent="0.15">
      <c r="A5" s="125"/>
      <c r="B5" s="87" t="s">
        <v>24</v>
      </c>
      <c r="C5" s="87" t="s">
        <v>25</v>
      </c>
      <c r="D5" s="99"/>
      <c r="E5" s="87" t="s">
        <v>26</v>
      </c>
      <c r="F5" s="127"/>
      <c r="G5" s="127"/>
      <c r="H5" s="87" t="s">
        <v>52</v>
      </c>
      <c r="I5" s="65" t="s">
        <v>28</v>
      </c>
      <c r="J5" s="65" t="s">
        <v>23</v>
      </c>
      <c r="K5" s="65" t="s">
        <v>29</v>
      </c>
      <c r="L5" s="65" t="s">
        <v>36</v>
      </c>
      <c r="M5" s="65" t="s">
        <v>30</v>
      </c>
      <c r="N5" s="65" t="s">
        <v>31</v>
      </c>
      <c r="O5" s="92" t="s">
        <v>30</v>
      </c>
      <c r="P5" s="92" t="s">
        <v>32</v>
      </c>
      <c r="Q5" s="92" t="s">
        <v>30</v>
      </c>
    </row>
    <row r="6" spans="1:17" x14ac:dyDescent="0.3">
      <c r="A6" s="93">
        <v>0</v>
      </c>
      <c r="B6" s="122" t="s">
        <v>76</v>
      </c>
      <c r="C6" s="123"/>
      <c r="D6" s="123"/>
      <c r="E6" s="123"/>
      <c r="F6" s="94"/>
      <c r="G6" s="88"/>
      <c r="H6" s="88"/>
      <c r="I6" s="95">
        <f>I7</f>
        <v>42828</v>
      </c>
      <c r="J6" s="96">
        <f t="shared" ref="J6:J63" si="0">DATEDIF(I6,K6,"YD")+1</f>
        <v>110</v>
      </c>
      <c r="K6" s="95">
        <f>K7</f>
        <v>42937</v>
      </c>
      <c r="L6" s="88">
        <f>SUM(L7)</f>
        <v>47</v>
      </c>
      <c r="M6" s="97">
        <f>SUM(M7)</f>
        <v>0.99999999999999956</v>
      </c>
      <c r="N6" s="98"/>
      <c r="O6" s="98">
        <f>SUM(O7)</f>
        <v>0.10638297872340424</v>
      </c>
      <c r="P6" s="98"/>
      <c r="Q6" s="98">
        <f>SUM(Q7)</f>
        <v>0.10638297872340424</v>
      </c>
    </row>
    <row r="7" spans="1:17" x14ac:dyDescent="0.3">
      <c r="A7" s="59">
        <v>1</v>
      </c>
      <c r="B7" s="60" t="s">
        <v>77</v>
      </c>
      <c r="C7" s="60"/>
      <c r="D7" s="60"/>
      <c r="E7" s="61"/>
      <c r="F7" s="62"/>
      <c r="G7" s="63"/>
      <c r="H7" s="63"/>
      <c r="I7" s="55">
        <f>I8</f>
        <v>42828</v>
      </c>
      <c r="J7" s="56">
        <f t="shared" si="0"/>
        <v>110</v>
      </c>
      <c r="K7" s="55">
        <f>K62</f>
        <v>42937</v>
      </c>
      <c r="L7" s="54">
        <f>SUM(L8,L10,L12,L16,L20,L27,L32,L56,L59,L62)</f>
        <v>47</v>
      </c>
      <c r="M7" s="57">
        <f>SUM(M8,M10,M12,M16,M20,M27,M56,M32,M59,M62)</f>
        <v>0.99999999999999956</v>
      </c>
      <c r="N7" s="58"/>
      <c r="O7" s="58">
        <f>SUM(O8,O10,O12,O16,O20,O27,O56,O32,O59,O62)</f>
        <v>0.10638297872340424</v>
      </c>
      <c r="P7" s="64"/>
      <c r="Q7" s="58">
        <f>SUM(Q8,Q10,Q12,Q16,Q20,Q27,Q56,Q32,Q59,Q62)</f>
        <v>0.10638297872340424</v>
      </c>
    </row>
    <row r="8" spans="1:17" x14ac:dyDescent="0.3">
      <c r="A8" s="66" t="s">
        <v>0</v>
      </c>
      <c r="B8" s="67"/>
      <c r="C8" s="67" t="s">
        <v>37</v>
      </c>
      <c r="D8" s="67"/>
      <c r="E8" s="68"/>
      <c r="F8" s="68"/>
      <c r="G8" s="69"/>
      <c r="H8" s="69"/>
      <c r="I8" s="70">
        <f>MIN(I9:I9)</f>
        <v>42828</v>
      </c>
      <c r="J8" s="71">
        <f t="shared" si="0"/>
        <v>5</v>
      </c>
      <c r="K8" s="70">
        <f>MAX(K9:K9)</f>
        <v>42832</v>
      </c>
      <c r="L8" s="69">
        <f>SUM(L9:L9)</f>
        <v>1</v>
      </c>
      <c r="M8" s="72">
        <f>SUM(M9:M9)</f>
        <v>2.1276595744680851E-2</v>
      </c>
      <c r="N8" s="72"/>
      <c r="O8" s="72">
        <f>SUM(O9:O9)</f>
        <v>2.1276595744680851E-2</v>
      </c>
      <c r="P8" s="72"/>
      <c r="Q8" s="72">
        <f>SUM(Q9:Q9)</f>
        <v>2.1276595744680851E-2</v>
      </c>
    </row>
    <row r="9" spans="1:17" x14ac:dyDescent="0.3">
      <c r="A9" s="30" t="s">
        <v>38</v>
      </c>
      <c r="B9" s="31"/>
      <c r="C9" s="31"/>
      <c r="D9" s="31"/>
      <c r="E9" s="18" t="s">
        <v>188</v>
      </c>
      <c r="F9" s="18" t="s">
        <v>187</v>
      </c>
      <c r="G9" s="32" t="s">
        <v>179</v>
      </c>
      <c r="H9" s="32"/>
      <c r="I9" s="33">
        <v>42828</v>
      </c>
      <c r="J9" s="34">
        <f t="shared" si="0"/>
        <v>5</v>
      </c>
      <c r="K9" s="33">
        <v>42832</v>
      </c>
      <c r="L9" s="32">
        <v>1</v>
      </c>
      <c r="M9" s="35">
        <f>L9/$L$7</f>
        <v>2.1276595744680851E-2</v>
      </c>
      <c r="N9" s="38">
        <v>1</v>
      </c>
      <c r="O9" s="36">
        <f>M9*N9</f>
        <v>2.1276595744680851E-2</v>
      </c>
      <c r="P9" s="37">
        <v>1</v>
      </c>
      <c r="Q9" s="36">
        <f>M9*P9</f>
        <v>2.1276595744680851E-2</v>
      </c>
    </row>
    <row r="10" spans="1:17" x14ac:dyDescent="0.3">
      <c r="A10" s="66" t="s">
        <v>1</v>
      </c>
      <c r="B10" s="67"/>
      <c r="C10" s="67" t="s">
        <v>39</v>
      </c>
      <c r="D10" s="67"/>
      <c r="E10" s="68"/>
      <c r="F10" s="68"/>
      <c r="G10" s="69"/>
      <c r="H10" s="69"/>
      <c r="I10" s="70">
        <f>MIN(I11:I11)</f>
        <v>42835</v>
      </c>
      <c r="J10" s="71">
        <f t="shared" si="0"/>
        <v>5</v>
      </c>
      <c r="K10" s="70">
        <f>MAX(K11:K11)</f>
        <v>42839</v>
      </c>
      <c r="L10" s="69">
        <f>SUM(L11:L11)</f>
        <v>1</v>
      </c>
      <c r="M10" s="72">
        <f>SUM(M11:M11)</f>
        <v>2.1276595744680851E-2</v>
      </c>
      <c r="N10" s="72"/>
      <c r="O10" s="72">
        <f>SUM(O11:O11)</f>
        <v>2.1276595744680851E-2</v>
      </c>
      <c r="P10" s="72"/>
      <c r="Q10" s="72">
        <f>SUM(Q11:Q11)</f>
        <v>2.1276595744680851E-2</v>
      </c>
    </row>
    <row r="11" spans="1:17" x14ac:dyDescent="0.3">
      <c r="A11" s="30" t="s">
        <v>40</v>
      </c>
      <c r="B11" s="31"/>
      <c r="C11" s="31"/>
      <c r="D11" s="31"/>
      <c r="E11" s="18" t="s">
        <v>178</v>
      </c>
      <c r="F11" s="31" t="s">
        <v>47</v>
      </c>
      <c r="G11" s="32" t="s">
        <v>179</v>
      </c>
      <c r="H11" s="32"/>
      <c r="I11" s="33">
        <v>42835</v>
      </c>
      <c r="J11" s="34">
        <f t="shared" si="0"/>
        <v>5</v>
      </c>
      <c r="K11" s="33">
        <v>42839</v>
      </c>
      <c r="L11" s="32">
        <v>1</v>
      </c>
      <c r="M11" s="35">
        <f>L11/$L$7</f>
        <v>2.1276595744680851E-2</v>
      </c>
      <c r="N11" s="38">
        <v>1</v>
      </c>
      <c r="O11" s="36">
        <f>M11*N11</f>
        <v>2.1276595744680851E-2</v>
      </c>
      <c r="P11" s="37">
        <v>1</v>
      </c>
      <c r="Q11" s="36">
        <f>M11*P11</f>
        <v>2.1276595744680851E-2</v>
      </c>
    </row>
    <row r="12" spans="1:17" x14ac:dyDescent="0.3">
      <c r="A12" s="66">
        <v>1.3</v>
      </c>
      <c r="B12" s="67"/>
      <c r="C12" s="67" t="s">
        <v>48</v>
      </c>
      <c r="D12" s="67"/>
      <c r="E12" s="68"/>
      <c r="F12" s="68"/>
      <c r="G12" s="69"/>
      <c r="H12" s="69"/>
      <c r="I12" s="70">
        <f>MIN(I13:I15)</f>
        <v>42828</v>
      </c>
      <c r="J12" s="71">
        <f>DATEDIF(I12,K12,"YD")+1</f>
        <v>5</v>
      </c>
      <c r="K12" s="70">
        <f>MAX(K13:K15)</f>
        <v>42832</v>
      </c>
      <c r="L12" s="69">
        <f>SUM(L13:L15)</f>
        <v>3</v>
      </c>
      <c r="M12" s="72">
        <f>SUM(M13:M15)</f>
        <v>6.3829787234042548E-2</v>
      </c>
      <c r="N12" s="72"/>
      <c r="O12" s="72">
        <f>SUM(O13:O15)</f>
        <v>6.3829787234042548E-2</v>
      </c>
      <c r="P12" s="72"/>
      <c r="Q12" s="72">
        <f>SUM(Q13:Q15)</f>
        <v>6.3829787234042548E-2</v>
      </c>
    </row>
    <row r="13" spans="1:17" x14ac:dyDescent="0.3">
      <c r="A13" s="30" t="s">
        <v>41</v>
      </c>
      <c r="B13" s="31"/>
      <c r="C13" s="31"/>
      <c r="D13" s="31"/>
      <c r="E13" s="18" t="s">
        <v>58</v>
      </c>
      <c r="F13" s="31" t="s">
        <v>189</v>
      </c>
      <c r="G13" s="32" t="s">
        <v>179</v>
      </c>
      <c r="H13" s="32"/>
      <c r="I13" s="33">
        <v>42828</v>
      </c>
      <c r="J13" s="34">
        <f>DATEDIF(I13,K13,"YD")+1</f>
        <v>5</v>
      </c>
      <c r="K13" s="33">
        <v>42832</v>
      </c>
      <c r="L13" s="32">
        <v>1</v>
      </c>
      <c r="M13" s="35">
        <f>L13/$L$7</f>
        <v>2.1276595744680851E-2</v>
      </c>
      <c r="N13" s="38">
        <v>1</v>
      </c>
      <c r="O13" s="36">
        <f>M13*N13</f>
        <v>2.1276595744680851E-2</v>
      </c>
      <c r="P13" s="37">
        <v>1</v>
      </c>
      <c r="Q13" s="36">
        <f>M13*P13</f>
        <v>2.1276595744680851E-2</v>
      </c>
    </row>
    <row r="14" spans="1:17" x14ac:dyDescent="0.3">
      <c r="A14" s="30" t="s">
        <v>74</v>
      </c>
      <c r="B14" s="31"/>
      <c r="C14" s="31"/>
      <c r="D14" s="31"/>
      <c r="E14" s="18" t="s">
        <v>59</v>
      </c>
      <c r="F14" s="31"/>
      <c r="G14" s="32" t="s">
        <v>179</v>
      </c>
      <c r="H14" s="32"/>
      <c r="I14" s="33">
        <v>42828</v>
      </c>
      <c r="J14" s="34">
        <f t="shared" ref="J14:J15" si="1">DATEDIF(I14,K14,"YD")+1</f>
        <v>5</v>
      </c>
      <c r="K14" s="33">
        <v>42832</v>
      </c>
      <c r="L14" s="32">
        <v>1</v>
      </c>
      <c r="M14" s="35">
        <f>L14/$L$7</f>
        <v>2.1276595744680851E-2</v>
      </c>
      <c r="N14" s="38">
        <v>1</v>
      </c>
      <c r="O14" s="36">
        <f>M14*N14</f>
        <v>2.1276595744680851E-2</v>
      </c>
      <c r="P14" s="37">
        <v>1</v>
      </c>
      <c r="Q14" s="36">
        <f>M14*P14</f>
        <v>2.1276595744680851E-2</v>
      </c>
    </row>
    <row r="15" spans="1:17" x14ac:dyDescent="0.3">
      <c r="A15" s="30" t="s">
        <v>75</v>
      </c>
      <c r="B15" s="31"/>
      <c r="C15" s="31"/>
      <c r="D15" s="31"/>
      <c r="E15" s="18" t="s">
        <v>60</v>
      </c>
      <c r="F15" s="31" t="s">
        <v>189</v>
      </c>
      <c r="G15" s="32" t="s">
        <v>179</v>
      </c>
      <c r="H15" s="32"/>
      <c r="I15" s="33">
        <v>42828</v>
      </c>
      <c r="J15" s="34">
        <f t="shared" si="1"/>
        <v>5</v>
      </c>
      <c r="K15" s="33">
        <v>42832</v>
      </c>
      <c r="L15" s="32">
        <v>1</v>
      </c>
      <c r="M15" s="35">
        <f>L15/$L$7</f>
        <v>2.1276595744680851E-2</v>
      </c>
      <c r="N15" s="38">
        <v>1</v>
      </c>
      <c r="O15" s="36">
        <f>M15*N15</f>
        <v>2.1276595744680851E-2</v>
      </c>
      <c r="P15" s="37">
        <v>1</v>
      </c>
      <c r="Q15" s="36">
        <f>M15*P15</f>
        <v>2.1276595744680851E-2</v>
      </c>
    </row>
    <row r="16" spans="1:17" x14ac:dyDescent="0.3">
      <c r="A16" s="66">
        <v>1.4</v>
      </c>
      <c r="B16" s="67"/>
      <c r="C16" s="67" t="s">
        <v>42</v>
      </c>
      <c r="D16" s="67"/>
      <c r="E16" s="68"/>
      <c r="F16" s="68"/>
      <c r="G16" s="69"/>
      <c r="H16" s="69"/>
      <c r="I16" s="70">
        <f>MIN(I17:I19)</f>
        <v>42842</v>
      </c>
      <c r="J16" s="71">
        <f t="shared" si="0"/>
        <v>12</v>
      </c>
      <c r="K16" s="70">
        <f>MAX(K17:K19)</f>
        <v>42853</v>
      </c>
      <c r="L16" s="69">
        <f>SUM(L17:L19)</f>
        <v>3</v>
      </c>
      <c r="M16" s="72">
        <f>SUM(M17:M19)</f>
        <v>6.3829787234042548E-2</v>
      </c>
      <c r="N16" s="72"/>
      <c r="O16" s="72">
        <f>SUM(O17:O19)</f>
        <v>0</v>
      </c>
      <c r="P16" s="72"/>
      <c r="Q16" s="72">
        <f>SUM(Q17:Q19)</f>
        <v>0</v>
      </c>
    </row>
    <row r="17" spans="1:17" x14ac:dyDescent="0.3">
      <c r="A17" s="30" t="s">
        <v>43</v>
      </c>
      <c r="B17" s="31"/>
      <c r="C17" s="31"/>
      <c r="D17" s="31"/>
      <c r="E17" s="18" t="s">
        <v>61</v>
      </c>
      <c r="F17" s="31"/>
      <c r="G17" s="32" t="s">
        <v>179</v>
      </c>
      <c r="H17" s="32"/>
      <c r="I17" s="33">
        <v>42842</v>
      </c>
      <c r="J17" s="34">
        <f t="shared" si="0"/>
        <v>12</v>
      </c>
      <c r="K17" s="33">
        <v>42853</v>
      </c>
      <c r="L17" s="32">
        <v>1</v>
      </c>
      <c r="M17" s="35">
        <f>L17/$L$7</f>
        <v>2.1276595744680851E-2</v>
      </c>
      <c r="N17" s="38">
        <v>0</v>
      </c>
      <c r="O17" s="36">
        <v>0</v>
      </c>
      <c r="P17" s="37">
        <v>0</v>
      </c>
      <c r="Q17" s="36">
        <f>M17*P17</f>
        <v>0</v>
      </c>
    </row>
    <row r="18" spans="1:17" x14ac:dyDescent="0.3">
      <c r="A18" s="30" t="s">
        <v>72</v>
      </c>
      <c r="B18" s="31"/>
      <c r="C18" s="31"/>
      <c r="D18" s="31"/>
      <c r="E18" s="18" t="s">
        <v>190</v>
      </c>
      <c r="F18" s="31" t="s">
        <v>191</v>
      </c>
      <c r="G18" s="32" t="s">
        <v>56</v>
      </c>
      <c r="H18" s="32"/>
      <c r="I18" s="33">
        <v>42842</v>
      </c>
      <c r="J18" s="34">
        <f t="shared" si="0"/>
        <v>12</v>
      </c>
      <c r="K18" s="33">
        <v>42853</v>
      </c>
      <c r="L18" s="32">
        <v>1</v>
      </c>
      <c r="M18" s="35">
        <f>L18/$L$7</f>
        <v>2.1276595744680851E-2</v>
      </c>
      <c r="N18" s="38">
        <v>0</v>
      </c>
      <c r="O18" s="36">
        <v>0</v>
      </c>
      <c r="P18" s="37">
        <v>0</v>
      </c>
      <c r="Q18" s="36">
        <f>M18*P18</f>
        <v>0</v>
      </c>
    </row>
    <row r="19" spans="1:17" x14ac:dyDescent="0.3">
      <c r="A19" s="30" t="s">
        <v>73</v>
      </c>
      <c r="B19" s="31"/>
      <c r="C19" s="31"/>
      <c r="D19" s="31"/>
      <c r="E19" s="18" t="s">
        <v>62</v>
      </c>
      <c r="F19" s="31" t="s">
        <v>63</v>
      </c>
      <c r="G19" s="32" t="s">
        <v>179</v>
      </c>
      <c r="H19" s="32"/>
      <c r="I19" s="33">
        <v>42849</v>
      </c>
      <c r="J19" s="34">
        <f t="shared" si="0"/>
        <v>5</v>
      </c>
      <c r="K19" s="33">
        <v>42853</v>
      </c>
      <c r="L19" s="32">
        <v>1</v>
      </c>
      <c r="M19" s="35">
        <f>L19/$L$7</f>
        <v>2.1276595744680851E-2</v>
      </c>
      <c r="N19" s="38">
        <v>0</v>
      </c>
      <c r="O19" s="36">
        <v>0</v>
      </c>
      <c r="P19" s="37">
        <v>0</v>
      </c>
      <c r="Q19" s="36">
        <f>M19*P19</f>
        <v>0</v>
      </c>
    </row>
    <row r="20" spans="1:17" x14ac:dyDescent="0.3">
      <c r="A20" s="66">
        <v>1.4</v>
      </c>
      <c r="B20" s="67"/>
      <c r="C20" s="67" t="s">
        <v>192</v>
      </c>
      <c r="D20" s="67"/>
      <c r="E20" s="68"/>
      <c r="F20" s="68"/>
      <c r="G20" s="69"/>
      <c r="H20" s="69"/>
      <c r="I20" s="70">
        <f>MIN(I21:I26)</f>
        <v>42856</v>
      </c>
      <c r="J20" s="71">
        <f t="shared" ref="J20:J31" si="2">DATEDIF(I20,K20,"YD")+1</f>
        <v>33</v>
      </c>
      <c r="K20" s="70">
        <f>MAX(K21:K26)</f>
        <v>42888</v>
      </c>
      <c r="L20" s="69">
        <f>SUM(L21:L26)</f>
        <v>6</v>
      </c>
      <c r="M20" s="72">
        <f>SUM(M21:M26)</f>
        <v>0.1276595744680851</v>
      </c>
      <c r="N20" s="72"/>
      <c r="O20" s="72">
        <f>SUM(O21:O26)</f>
        <v>0</v>
      </c>
      <c r="P20" s="72"/>
      <c r="Q20" s="72">
        <f>SUM(Q21:Q26)</f>
        <v>0</v>
      </c>
    </row>
    <row r="21" spans="1:17" x14ac:dyDescent="0.3">
      <c r="A21" s="30" t="s">
        <v>43</v>
      </c>
      <c r="B21" s="31"/>
      <c r="C21" s="31"/>
      <c r="D21" s="31" t="s">
        <v>193</v>
      </c>
      <c r="E21" s="18" t="s">
        <v>195</v>
      </c>
      <c r="F21" s="31" t="s">
        <v>197</v>
      </c>
      <c r="G21" s="32" t="s">
        <v>170</v>
      </c>
      <c r="H21" s="32"/>
      <c r="I21" s="33">
        <v>42856</v>
      </c>
      <c r="J21" s="34">
        <f t="shared" si="2"/>
        <v>12</v>
      </c>
      <c r="K21" s="33">
        <v>42867</v>
      </c>
      <c r="L21" s="32">
        <v>1</v>
      </c>
      <c r="M21" s="35">
        <f>L21/$L$7</f>
        <v>2.1276595744680851E-2</v>
      </c>
      <c r="N21" s="38">
        <v>0</v>
      </c>
      <c r="O21" s="36">
        <v>0</v>
      </c>
      <c r="P21" s="37">
        <v>0</v>
      </c>
      <c r="Q21" s="36">
        <f>M21*P21</f>
        <v>0</v>
      </c>
    </row>
    <row r="22" spans="1:17" x14ac:dyDescent="0.3">
      <c r="A22" s="30"/>
      <c r="B22" s="31"/>
      <c r="C22" s="31"/>
      <c r="D22" s="31"/>
      <c r="E22" s="18" t="s">
        <v>196</v>
      </c>
      <c r="F22" s="31" t="s">
        <v>197</v>
      </c>
      <c r="G22" s="32" t="s">
        <v>170</v>
      </c>
      <c r="H22" s="32"/>
      <c r="I22" s="33">
        <v>42870</v>
      </c>
      <c r="J22" s="34">
        <f t="shared" si="2"/>
        <v>5</v>
      </c>
      <c r="K22" s="33">
        <v>42874</v>
      </c>
      <c r="L22" s="32">
        <v>1</v>
      </c>
      <c r="M22" s="35">
        <f t="shared" ref="M22:M26" si="3">L22/$L$7</f>
        <v>2.1276595744680851E-2</v>
      </c>
      <c r="N22" s="38">
        <v>0</v>
      </c>
      <c r="O22" s="36">
        <v>0</v>
      </c>
      <c r="P22" s="37">
        <v>0</v>
      </c>
      <c r="Q22" s="36">
        <f t="shared" ref="Q22:Q26" si="4">M22*P22</f>
        <v>0</v>
      </c>
    </row>
    <row r="23" spans="1:17" x14ac:dyDescent="0.3">
      <c r="A23" s="30" t="s">
        <v>72</v>
      </c>
      <c r="B23" s="31"/>
      <c r="C23" s="31"/>
      <c r="D23" s="31" t="s">
        <v>194</v>
      </c>
      <c r="E23" s="18" t="s">
        <v>195</v>
      </c>
      <c r="F23" s="31" t="s">
        <v>197</v>
      </c>
      <c r="G23" s="32" t="s">
        <v>170</v>
      </c>
      <c r="H23" s="32"/>
      <c r="I23" s="33">
        <v>42870</v>
      </c>
      <c r="J23" s="34">
        <f t="shared" si="2"/>
        <v>12</v>
      </c>
      <c r="K23" s="33">
        <v>42881</v>
      </c>
      <c r="L23" s="32">
        <v>1</v>
      </c>
      <c r="M23" s="35">
        <f t="shared" si="3"/>
        <v>2.1276595744680851E-2</v>
      </c>
      <c r="N23" s="38">
        <v>0</v>
      </c>
      <c r="O23" s="36">
        <v>0</v>
      </c>
      <c r="P23" s="37">
        <v>0</v>
      </c>
      <c r="Q23" s="36">
        <f t="shared" si="4"/>
        <v>0</v>
      </c>
    </row>
    <row r="24" spans="1:17" x14ac:dyDescent="0.3">
      <c r="A24" s="30"/>
      <c r="B24" s="31"/>
      <c r="C24" s="31"/>
      <c r="D24" s="31"/>
      <c r="E24" s="18" t="s">
        <v>196</v>
      </c>
      <c r="F24" s="31" t="s">
        <v>197</v>
      </c>
      <c r="G24" s="32" t="s">
        <v>170</v>
      </c>
      <c r="H24" s="32"/>
      <c r="I24" s="33">
        <v>42877</v>
      </c>
      <c r="J24" s="34">
        <f t="shared" si="2"/>
        <v>5</v>
      </c>
      <c r="K24" s="33">
        <v>42881</v>
      </c>
      <c r="L24" s="32">
        <v>1</v>
      </c>
      <c r="M24" s="35">
        <f t="shared" si="3"/>
        <v>2.1276595744680851E-2</v>
      </c>
      <c r="N24" s="38">
        <v>0</v>
      </c>
      <c r="O24" s="36">
        <v>0</v>
      </c>
      <c r="P24" s="37">
        <v>0</v>
      </c>
      <c r="Q24" s="36">
        <f t="shared" si="4"/>
        <v>0</v>
      </c>
    </row>
    <row r="25" spans="1:17" x14ac:dyDescent="0.3">
      <c r="A25" s="30"/>
      <c r="B25" s="31"/>
      <c r="C25" s="31"/>
      <c r="D25" s="31"/>
      <c r="E25" s="18" t="s">
        <v>116</v>
      </c>
      <c r="F25" s="31" t="s">
        <v>197</v>
      </c>
      <c r="G25" s="32" t="s">
        <v>170</v>
      </c>
      <c r="H25" s="32"/>
      <c r="I25" s="33">
        <v>42884</v>
      </c>
      <c r="J25" s="34">
        <f t="shared" si="2"/>
        <v>5</v>
      </c>
      <c r="K25" s="33">
        <v>42888</v>
      </c>
      <c r="L25" s="32">
        <v>1</v>
      </c>
      <c r="M25" s="35">
        <f t="shared" si="3"/>
        <v>2.1276595744680851E-2</v>
      </c>
      <c r="N25" s="38">
        <v>0</v>
      </c>
      <c r="O25" s="36">
        <v>0</v>
      </c>
      <c r="P25" s="37">
        <v>0</v>
      </c>
      <c r="Q25" s="36">
        <f t="shared" si="4"/>
        <v>0</v>
      </c>
    </row>
    <row r="26" spans="1:17" x14ac:dyDescent="0.3">
      <c r="A26" s="30" t="s">
        <v>73</v>
      </c>
      <c r="B26" s="31"/>
      <c r="C26" s="31"/>
      <c r="D26" s="31"/>
      <c r="E26" s="18" t="s">
        <v>118</v>
      </c>
      <c r="F26" s="31" t="s">
        <v>197</v>
      </c>
      <c r="G26" s="32" t="s">
        <v>170</v>
      </c>
      <c r="H26" s="32"/>
      <c r="I26" s="33">
        <v>42884</v>
      </c>
      <c r="J26" s="34">
        <f t="shared" si="2"/>
        <v>5</v>
      </c>
      <c r="K26" s="33">
        <v>42888</v>
      </c>
      <c r="L26" s="32">
        <v>1</v>
      </c>
      <c r="M26" s="35">
        <f t="shared" si="3"/>
        <v>2.1276595744680851E-2</v>
      </c>
      <c r="N26" s="38">
        <v>0</v>
      </c>
      <c r="O26" s="36">
        <v>0</v>
      </c>
      <c r="P26" s="37">
        <v>0</v>
      </c>
      <c r="Q26" s="36">
        <f t="shared" si="4"/>
        <v>0</v>
      </c>
    </row>
    <row r="27" spans="1:17" x14ac:dyDescent="0.3">
      <c r="A27" s="66">
        <v>1.4</v>
      </c>
      <c r="B27" s="67"/>
      <c r="C27" s="67" t="s">
        <v>93</v>
      </c>
      <c r="D27" s="67"/>
      <c r="E27" s="68"/>
      <c r="F27" s="68"/>
      <c r="G27" s="69"/>
      <c r="H27" s="69"/>
      <c r="I27" s="70">
        <f>MIN(I28:I31)</f>
        <v>42870</v>
      </c>
      <c r="J27" s="71">
        <f t="shared" si="2"/>
        <v>33</v>
      </c>
      <c r="K27" s="70">
        <f>MAX(K28:K31)</f>
        <v>42902</v>
      </c>
      <c r="L27" s="69">
        <f>SUM(L28:L31)</f>
        <v>4</v>
      </c>
      <c r="M27" s="72">
        <f>SUM(M28:M31)</f>
        <v>8.5106382978723402E-2</v>
      </c>
      <c r="N27" s="72"/>
      <c r="O27" s="72">
        <f>SUM(O28:O31)</f>
        <v>0</v>
      </c>
      <c r="P27" s="72"/>
      <c r="Q27" s="72">
        <f>SUM(Q28:Q31)</f>
        <v>0</v>
      </c>
    </row>
    <row r="28" spans="1:17" x14ac:dyDescent="0.3">
      <c r="A28" s="30" t="s">
        <v>43</v>
      </c>
      <c r="B28" s="31"/>
      <c r="C28" s="31"/>
      <c r="D28" s="31" t="s">
        <v>88</v>
      </c>
      <c r="E28" s="18" t="s">
        <v>94</v>
      </c>
      <c r="F28" s="31" t="s">
        <v>198</v>
      </c>
      <c r="G28" s="32" t="s">
        <v>171</v>
      </c>
      <c r="H28" s="32"/>
      <c r="I28" s="33">
        <v>42870</v>
      </c>
      <c r="J28" s="34">
        <f t="shared" si="2"/>
        <v>5</v>
      </c>
      <c r="K28" s="33">
        <v>42874</v>
      </c>
      <c r="L28" s="32">
        <v>1</v>
      </c>
      <c r="M28" s="35">
        <f>L28/$L$7</f>
        <v>2.1276595744680851E-2</v>
      </c>
      <c r="N28" s="38">
        <v>0</v>
      </c>
      <c r="O28" s="36">
        <v>0</v>
      </c>
      <c r="P28" s="37">
        <v>0</v>
      </c>
      <c r="Q28" s="36">
        <f>M28*P28</f>
        <v>0</v>
      </c>
    </row>
    <row r="29" spans="1:17" x14ac:dyDescent="0.3">
      <c r="A29" s="30"/>
      <c r="B29" s="31"/>
      <c r="C29" s="31"/>
      <c r="D29" s="31"/>
      <c r="E29" s="18" t="s">
        <v>96</v>
      </c>
      <c r="F29" s="31" t="s">
        <v>198</v>
      </c>
      <c r="G29" s="32" t="s">
        <v>171</v>
      </c>
      <c r="H29" s="32"/>
      <c r="I29" s="33">
        <v>42877</v>
      </c>
      <c r="J29" s="34">
        <f t="shared" si="2"/>
        <v>12</v>
      </c>
      <c r="K29" s="33">
        <v>42888</v>
      </c>
      <c r="L29" s="32">
        <v>1</v>
      </c>
      <c r="M29" s="35">
        <f t="shared" ref="M29:M31" si="5">L29/$L$7</f>
        <v>2.1276595744680851E-2</v>
      </c>
      <c r="N29" s="38">
        <v>0</v>
      </c>
      <c r="O29" s="36">
        <v>0</v>
      </c>
      <c r="P29" s="37">
        <v>0</v>
      </c>
      <c r="Q29" s="36">
        <f t="shared" ref="Q29:Q31" si="6">M29*P29</f>
        <v>0</v>
      </c>
    </row>
    <row r="30" spans="1:17" x14ac:dyDescent="0.3">
      <c r="A30" s="30"/>
      <c r="B30" s="31"/>
      <c r="C30" s="31"/>
      <c r="D30" s="31" t="s">
        <v>194</v>
      </c>
      <c r="E30" s="18" t="s">
        <v>94</v>
      </c>
      <c r="F30" s="31" t="s">
        <v>198</v>
      </c>
      <c r="G30" s="32" t="s">
        <v>171</v>
      </c>
      <c r="H30" s="32"/>
      <c r="I30" s="33">
        <v>42891</v>
      </c>
      <c r="J30" s="34">
        <f t="shared" si="2"/>
        <v>5</v>
      </c>
      <c r="K30" s="33">
        <v>42895</v>
      </c>
      <c r="L30" s="32">
        <v>1</v>
      </c>
      <c r="M30" s="35">
        <f t="shared" si="5"/>
        <v>2.1276595744680851E-2</v>
      </c>
      <c r="N30" s="38">
        <v>0</v>
      </c>
      <c r="O30" s="36">
        <v>0</v>
      </c>
      <c r="P30" s="37">
        <v>0</v>
      </c>
      <c r="Q30" s="36">
        <f t="shared" si="6"/>
        <v>0</v>
      </c>
    </row>
    <row r="31" spans="1:17" x14ac:dyDescent="0.3">
      <c r="A31" s="30" t="s">
        <v>72</v>
      </c>
      <c r="B31" s="31"/>
      <c r="C31" s="31"/>
      <c r="D31" s="31"/>
      <c r="E31" s="18" t="s">
        <v>96</v>
      </c>
      <c r="F31" s="31" t="s">
        <v>198</v>
      </c>
      <c r="G31" s="32" t="s">
        <v>171</v>
      </c>
      <c r="H31" s="32"/>
      <c r="I31" s="33">
        <v>42898</v>
      </c>
      <c r="J31" s="34">
        <f t="shared" si="2"/>
        <v>5</v>
      </c>
      <c r="K31" s="33">
        <v>42902</v>
      </c>
      <c r="L31" s="32">
        <v>1</v>
      </c>
      <c r="M31" s="35">
        <f t="shared" si="5"/>
        <v>2.1276595744680851E-2</v>
      </c>
      <c r="N31" s="38">
        <v>0</v>
      </c>
      <c r="O31" s="36">
        <v>0</v>
      </c>
      <c r="P31" s="37">
        <v>0</v>
      </c>
      <c r="Q31" s="36">
        <f t="shared" si="6"/>
        <v>0</v>
      </c>
    </row>
    <row r="32" spans="1:17" x14ac:dyDescent="0.3">
      <c r="A32" s="66">
        <v>1.5</v>
      </c>
      <c r="B32" s="67"/>
      <c r="C32" s="67" t="s">
        <v>44</v>
      </c>
      <c r="D32" s="67"/>
      <c r="E32" s="68"/>
      <c r="F32" s="68"/>
      <c r="G32" s="69"/>
      <c r="H32" s="69"/>
      <c r="I32" s="70">
        <f>MIN(I33:I55)</f>
        <v>42856</v>
      </c>
      <c r="J32" s="71">
        <f t="shared" si="0"/>
        <v>61</v>
      </c>
      <c r="K32" s="70">
        <f>MAX(K33:K55)</f>
        <v>42916</v>
      </c>
      <c r="L32" s="69">
        <f>SUM(L33:L55)</f>
        <v>23</v>
      </c>
      <c r="M32" s="72">
        <f>SUM(M33:M55)</f>
        <v>0.48936170212765928</v>
      </c>
      <c r="N32" s="72"/>
      <c r="O32" s="72">
        <f>SUM(O33:O55)</f>
        <v>0</v>
      </c>
      <c r="P32" s="72"/>
      <c r="Q32" s="72">
        <f>SUM(Q33:Q55)</f>
        <v>0</v>
      </c>
    </row>
    <row r="33" spans="1:17" x14ac:dyDescent="0.3">
      <c r="A33" s="30" t="s">
        <v>45</v>
      </c>
      <c r="B33" s="31"/>
      <c r="C33" s="31"/>
      <c r="D33" s="31"/>
      <c r="E33" s="18" t="s">
        <v>64</v>
      </c>
      <c r="F33" s="31" t="s">
        <v>65</v>
      </c>
      <c r="G33" s="32" t="s">
        <v>57</v>
      </c>
      <c r="H33" s="32"/>
      <c r="I33" s="33">
        <v>42856</v>
      </c>
      <c r="J33" s="34">
        <f t="shared" si="0"/>
        <v>5</v>
      </c>
      <c r="K33" s="33">
        <v>42860</v>
      </c>
      <c r="L33" s="32">
        <v>1</v>
      </c>
      <c r="M33" s="35">
        <f>L33/$L$7</f>
        <v>2.1276595744680851E-2</v>
      </c>
      <c r="N33" s="38">
        <v>0</v>
      </c>
      <c r="O33" s="36">
        <f t="shared" ref="O33:O55" si="7">M33*N33</f>
        <v>0</v>
      </c>
      <c r="P33" s="37">
        <v>0</v>
      </c>
      <c r="Q33" s="36">
        <f t="shared" ref="Q33:Q55" si="8">M33*P33</f>
        <v>0</v>
      </c>
    </row>
    <row r="34" spans="1:17" x14ac:dyDescent="0.3">
      <c r="A34" s="30"/>
      <c r="B34" s="31"/>
      <c r="C34" s="31"/>
      <c r="D34" s="31" t="s">
        <v>88</v>
      </c>
      <c r="E34" s="18" t="s">
        <v>107</v>
      </c>
      <c r="F34" s="31" t="s">
        <v>201</v>
      </c>
      <c r="G34" s="32" t="s">
        <v>172</v>
      </c>
      <c r="H34" s="32"/>
      <c r="I34" s="33">
        <v>42891</v>
      </c>
      <c r="J34" s="34">
        <f t="shared" si="0"/>
        <v>5</v>
      </c>
      <c r="K34" s="33">
        <v>42895</v>
      </c>
      <c r="L34" s="32">
        <v>1</v>
      </c>
      <c r="M34" s="35">
        <f t="shared" ref="M34:M55" si="9">L34/$L$7</f>
        <v>2.1276595744680851E-2</v>
      </c>
      <c r="N34" s="38">
        <v>0</v>
      </c>
      <c r="O34" s="36">
        <f t="shared" si="7"/>
        <v>0</v>
      </c>
      <c r="P34" s="37">
        <v>0</v>
      </c>
      <c r="Q34" s="36">
        <f t="shared" si="8"/>
        <v>0</v>
      </c>
    </row>
    <row r="35" spans="1:17" x14ac:dyDescent="0.3">
      <c r="A35" s="30"/>
      <c r="B35" s="31"/>
      <c r="C35" s="31"/>
      <c r="D35" s="31"/>
      <c r="E35" s="18" t="s">
        <v>109</v>
      </c>
      <c r="F35" s="31" t="s">
        <v>201</v>
      </c>
      <c r="G35" s="32" t="s">
        <v>172</v>
      </c>
      <c r="H35" s="32"/>
      <c r="I35" s="33">
        <v>42891</v>
      </c>
      <c r="J35" s="34">
        <f t="shared" si="0"/>
        <v>5</v>
      </c>
      <c r="K35" s="33">
        <v>42895</v>
      </c>
      <c r="L35" s="32">
        <v>1</v>
      </c>
      <c r="M35" s="35">
        <f t="shared" si="9"/>
        <v>2.1276595744680851E-2</v>
      </c>
      <c r="N35" s="38">
        <v>0</v>
      </c>
      <c r="O35" s="36">
        <f t="shared" si="7"/>
        <v>0</v>
      </c>
      <c r="P35" s="37">
        <v>0</v>
      </c>
      <c r="Q35" s="36">
        <f t="shared" si="8"/>
        <v>0</v>
      </c>
    </row>
    <row r="36" spans="1:17" x14ac:dyDescent="0.3">
      <c r="A36" s="30"/>
      <c r="B36" s="31"/>
      <c r="C36" s="31"/>
      <c r="D36" s="31"/>
      <c r="E36" s="18" t="s">
        <v>111</v>
      </c>
      <c r="F36" s="31" t="s">
        <v>201</v>
      </c>
      <c r="G36" s="32" t="s">
        <v>172</v>
      </c>
      <c r="H36" s="32"/>
      <c r="I36" s="33">
        <v>42891</v>
      </c>
      <c r="J36" s="34">
        <f t="shared" si="0"/>
        <v>5</v>
      </c>
      <c r="K36" s="33">
        <v>42895</v>
      </c>
      <c r="L36" s="32">
        <v>1</v>
      </c>
      <c r="M36" s="35">
        <f t="shared" si="9"/>
        <v>2.1276595744680851E-2</v>
      </c>
      <c r="N36" s="38">
        <v>0</v>
      </c>
      <c r="O36" s="36">
        <f t="shared" si="7"/>
        <v>0</v>
      </c>
      <c r="P36" s="37">
        <v>0</v>
      </c>
      <c r="Q36" s="36">
        <f t="shared" si="8"/>
        <v>0</v>
      </c>
    </row>
    <row r="37" spans="1:17" x14ac:dyDescent="0.3">
      <c r="A37" s="30"/>
      <c r="B37" s="31"/>
      <c r="C37" s="31"/>
      <c r="D37" s="31"/>
      <c r="E37" s="18" t="s">
        <v>98</v>
      </c>
      <c r="F37" s="31" t="s">
        <v>201</v>
      </c>
      <c r="G37" s="32" t="s">
        <v>172</v>
      </c>
      <c r="H37" s="32"/>
      <c r="I37" s="33">
        <v>42898</v>
      </c>
      <c r="J37" s="34">
        <f t="shared" si="0"/>
        <v>5</v>
      </c>
      <c r="K37" s="33">
        <v>42902</v>
      </c>
      <c r="L37" s="32">
        <v>1</v>
      </c>
      <c r="M37" s="35">
        <f t="shared" si="9"/>
        <v>2.1276595744680851E-2</v>
      </c>
      <c r="N37" s="38">
        <v>0</v>
      </c>
      <c r="O37" s="36">
        <f t="shared" si="7"/>
        <v>0</v>
      </c>
      <c r="P37" s="37">
        <v>0</v>
      </c>
      <c r="Q37" s="36">
        <f t="shared" si="8"/>
        <v>0</v>
      </c>
    </row>
    <row r="38" spans="1:17" x14ac:dyDescent="0.3">
      <c r="A38" s="30"/>
      <c r="B38" s="31"/>
      <c r="C38" s="31"/>
      <c r="D38" s="31"/>
      <c r="E38" s="18" t="s">
        <v>100</v>
      </c>
      <c r="F38" s="31" t="s">
        <v>201</v>
      </c>
      <c r="G38" s="32" t="s">
        <v>172</v>
      </c>
      <c r="H38" s="32"/>
      <c r="I38" s="33">
        <v>42905</v>
      </c>
      <c r="J38" s="34">
        <f t="shared" si="0"/>
        <v>5</v>
      </c>
      <c r="K38" s="33">
        <v>42909</v>
      </c>
      <c r="L38" s="32">
        <v>1</v>
      </c>
      <c r="M38" s="35">
        <f t="shared" si="9"/>
        <v>2.1276595744680851E-2</v>
      </c>
      <c r="N38" s="38">
        <v>0</v>
      </c>
      <c r="O38" s="36">
        <f t="shared" si="7"/>
        <v>0</v>
      </c>
      <c r="P38" s="37">
        <v>0</v>
      </c>
      <c r="Q38" s="36">
        <f t="shared" si="8"/>
        <v>0</v>
      </c>
    </row>
    <row r="39" spans="1:17" x14ac:dyDescent="0.3">
      <c r="A39" s="30" t="s">
        <v>2</v>
      </c>
      <c r="B39" s="31"/>
      <c r="C39" s="31"/>
      <c r="D39" s="31"/>
      <c r="E39" s="18" t="s">
        <v>102</v>
      </c>
      <c r="F39" s="31" t="s">
        <v>201</v>
      </c>
      <c r="G39" s="32" t="s">
        <v>56</v>
      </c>
      <c r="H39" s="32"/>
      <c r="I39" s="33">
        <v>42877</v>
      </c>
      <c r="J39" s="34">
        <f t="shared" si="0"/>
        <v>12</v>
      </c>
      <c r="K39" s="33">
        <v>42888</v>
      </c>
      <c r="L39" s="32">
        <v>1</v>
      </c>
      <c r="M39" s="35">
        <f t="shared" si="9"/>
        <v>2.1276595744680851E-2</v>
      </c>
      <c r="N39" s="38">
        <v>0</v>
      </c>
      <c r="O39" s="36">
        <f t="shared" si="7"/>
        <v>0</v>
      </c>
      <c r="P39" s="37">
        <v>0</v>
      </c>
      <c r="Q39" s="36">
        <f t="shared" si="8"/>
        <v>0</v>
      </c>
    </row>
    <row r="40" spans="1:17" x14ac:dyDescent="0.3">
      <c r="A40" s="30"/>
      <c r="B40" s="31"/>
      <c r="C40" s="31"/>
      <c r="D40" s="31" t="s">
        <v>194</v>
      </c>
      <c r="E40" s="18" t="s">
        <v>123</v>
      </c>
      <c r="F40" s="31" t="s">
        <v>201</v>
      </c>
      <c r="G40" s="32" t="s">
        <v>56</v>
      </c>
      <c r="H40" s="32"/>
      <c r="I40" s="33">
        <v>42856</v>
      </c>
      <c r="J40" s="34">
        <f t="shared" si="0"/>
        <v>12</v>
      </c>
      <c r="K40" s="33">
        <v>42867</v>
      </c>
      <c r="L40" s="32">
        <v>1</v>
      </c>
      <c r="M40" s="35">
        <f t="shared" si="9"/>
        <v>2.1276595744680851E-2</v>
      </c>
      <c r="N40" s="38">
        <v>0</v>
      </c>
      <c r="O40" s="36">
        <f t="shared" si="7"/>
        <v>0</v>
      </c>
      <c r="P40" s="37">
        <v>0</v>
      </c>
      <c r="Q40" s="36">
        <f t="shared" si="8"/>
        <v>0</v>
      </c>
    </row>
    <row r="41" spans="1:17" x14ac:dyDescent="0.3">
      <c r="A41" s="30"/>
      <c r="B41" s="31"/>
      <c r="C41" s="31"/>
      <c r="D41" s="31"/>
      <c r="E41" s="18" t="s">
        <v>133</v>
      </c>
      <c r="F41" s="31" t="s">
        <v>201</v>
      </c>
      <c r="G41" s="32" t="s">
        <v>56</v>
      </c>
      <c r="H41" s="32"/>
      <c r="I41" s="33">
        <v>42863</v>
      </c>
      <c r="J41" s="34">
        <f t="shared" si="0"/>
        <v>5</v>
      </c>
      <c r="K41" s="33">
        <v>42867</v>
      </c>
      <c r="L41" s="32">
        <v>1</v>
      </c>
      <c r="M41" s="35">
        <f t="shared" si="9"/>
        <v>2.1276595744680851E-2</v>
      </c>
      <c r="N41" s="38">
        <v>0</v>
      </c>
      <c r="O41" s="36">
        <f t="shared" si="7"/>
        <v>0</v>
      </c>
      <c r="P41" s="37">
        <v>0</v>
      </c>
      <c r="Q41" s="36">
        <f t="shared" si="8"/>
        <v>0</v>
      </c>
    </row>
    <row r="42" spans="1:17" x14ac:dyDescent="0.3">
      <c r="A42" s="30"/>
      <c r="B42" s="31"/>
      <c r="C42" s="31"/>
      <c r="D42" s="31"/>
      <c r="E42" s="18" t="s">
        <v>129</v>
      </c>
      <c r="F42" s="31" t="s">
        <v>201</v>
      </c>
      <c r="G42" s="32" t="s">
        <v>56</v>
      </c>
      <c r="H42" s="32"/>
      <c r="I42" s="33">
        <v>42870</v>
      </c>
      <c r="J42" s="34">
        <f t="shared" si="0"/>
        <v>12</v>
      </c>
      <c r="K42" s="33">
        <v>42881</v>
      </c>
      <c r="L42" s="32">
        <v>1</v>
      </c>
      <c r="M42" s="35">
        <f t="shared" si="9"/>
        <v>2.1276595744680851E-2</v>
      </c>
      <c r="N42" s="38">
        <v>0</v>
      </c>
      <c r="O42" s="36">
        <f t="shared" si="7"/>
        <v>0</v>
      </c>
      <c r="P42" s="37">
        <v>0</v>
      </c>
      <c r="Q42" s="36">
        <f t="shared" si="8"/>
        <v>0</v>
      </c>
    </row>
    <row r="43" spans="1:17" x14ac:dyDescent="0.3">
      <c r="A43" s="30"/>
      <c r="B43" s="31"/>
      <c r="C43" s="31"/>
      <c r="D43" s="31"/>
      <c r="E43" s="18" t="s">
        <v>125</v>
      </c>
      <c r="F43" s="31" t="s">
        <v>201</v>
      </c>
      <c r="G43" s="32" t="s">
        <v>172</v>
      </c>
      <c r="H43" s="32"/>
      <c r="I43" s="33">
        <v>42891</v>
      </c>
      <c r="J43" s="34">
        <f t="shared" si="0"/>
        <v>5</v>
      </c>
      <c r="K43" s="33">
        <v>42895</v>
      </c>
      <c r="L43" s="32">
        <v>1</v>
      </c>
      <c r="M43" s="35">
        <f t="shared" si="9"/>
        <v>2.1276595744680851E-2</v>
      </c>
      <c r="N43" s="38">
        <v>0</v>
      </c>
      <c r="O43" s="36">
        <f t="shared" si="7"/>
        <v>0</v>
      </c>
      <c r="P43" s="37">
        <v>0</v>
      </c>
      <c r="Q43" s="36">
        <f t="shared" si="8"/>
        <v>0</v>
      </c>
    </row>
    <row r="44" spans="1:17" x14ac:dyDescent="0.3">
      <c r="A44" s="30"/>
      <c r="B44" s="31"/>
      <c r="C44" s="31"/>
      <c r="D44" s="31"/>
      <c r="E44" s="18" t="s">
        <v>127</v>
      </c>
      <c r="F44" s="31" t="s">
        <v>201</v>
      </c>
      <c r="G44" s="32" t="s">
        <v>56</v>
      </c>
      <c r="H44" s="32"/>
      <c r="I44" s="33">
        <v>42877</v>
      </c>
      <c r="J44" s="34">
        <f t="shared" si="0"/>
        <v>12</v>
      </c>
      <c r="K44" s="33">
        <v>42888</v>
      </c>
      <c r="L44" s="32">
        <v>1</v>
      </c>
      <c r="M44" s="35">
        <f t="shared" si="9"/>
        <v>2.1276595744680851E-2</v>
      </c>
      <c r="N44" s="38">
        <v>0</v>
      </c>
      <c r="O44" s="36">
        <f t="shared" si="7"/>
        <v>0</v>
      </c>
      <c r="P44" s="37">
        <v>0</v>
      </c>
      <c r="Q44" s="36">
        <f t="shared" si="8"/>
        <v>0</v>
      </c>
    </row>
    <row r="45" spans="1:17" x14ac:dyDescent="0.3">
      <c r="A45" s="30"/>
      <c r="B45" s="31"/>
      <c r="C45" s="31"/>
      <c r="D45" s="31"/>
      <c r="E45" s="18" t="s">
        <v>131</v>
      </c>
      <c r="F45" s="31" t="s">
        <v>201</v>
      </c>
      <c r="G45" s="32" t="s">
        <v>56</v>
      </c>
      <c r="H45" s="32"/>
      <c r="I45" s="33">
        <v>42884</v>
      </c>
      <c r="J45" s="34">
        <f t="shared" si="0"/>
        <v>5</v>
      </c>
      <c r="K45" s="33">
        <v>42888</v>
      </c>
      <c r="L45" s="32">
        <v>1</v>
      </c>
      <c r="M45" s="35">
        <f t="shared" si="9"/>
        <v>2.1276595744680851E-2</v>
      </c>
      <c r="N45" s="38">
        <v>0</v>
      </c>
      <c r="O45" s="36">
        <f t="shared" si="7"/>
        <v>0</v>
      </c>
      <c r="P45" s="37">
        <v>0</v>
      </c>
      <c r="Q45" s="36">
        <f t="shared" si="8"/>
        <v>0</v>
      </c>
    </row>
    <row r="46" spans="1:17" x14ac:dyDescent="0.3">
      <c r="A46" s="30"/>
      <c r="B46" s="31"/>
      <c r="C46" s="31"/>
      <c r="D46" s="31"/>
      <c r="E46" s="18" t="s">
        <v>121</v>
      </c>
      <c r="F46" s="31" t="s">
        <v>201</v>
      </c>
      <c r="G46" s="32" t="s">
        <v>56</v>
      </c>
      <c r="H46" s="32"/>
      <c r="I46" s="33">
        <v>42891</v>
      </c>
      <c r="J46" s="34">
        <f t="shared" si="0"/>
        <v>5</v>
      </c>
      <c r="K46" s="33">
        <v>42895</v>
      </c>
      <c r="L46" s="32">
        <v>1</v>
      </c>
      <c r="M46" s="35">
        <f t="shared" si="9"/>
        <v>2.1276595744680851E-2</v>
      </c>
      <c r="N46" s="38">
        <v>0</v>
      </c>
      <c r="O46" s="36">
        <f t="shared" si="7"/>
        <v>0</v>
      </c>
      <c r="P46" s="37">
        <v>0</v>
      </c>
      <c r="Q46" s="36">
        <f t="shared" si="8"/>
        <v>0</v>
      </c>
    </row>
    <row r="47" spans="1:17" x14ac:dyDescent="0.3">
      <c r="A47" s="30"/>
      <c r="B47" s="31"/>
      <c r="C47" s="31"/>
      <c r="D47" s="31"/>
      <c r="E47" s="18" t="s">
        <v>176</v>
      </c>
      <c r="F47" s="31" t="s">
        <v>201</v>
      </c>
      <c r="G47" s="32" t="s">
        <v>56</v>
      </c>
      <c r="H47" s="32"/>
      <c r="I47" s="33">
        <v>42898</v>
      </c>
      <c r="J47" s="34">
        <f t="shared" si="0"/>
        <v>5</v>
      </c>
      <c r="K47" s="33">
        <v>42902</v>
      </c>
      <c r="L47" s="32">
        <v>1</v>
      </c>
      <c r="M47" s="35">
        <f t="shared" si="9"/>
        <v>2.1276595744680851E-2</v>
      </c>
      <c r="N47" s="38">
        <v>0</v>
      </c>
      <c r="O47" s="36">
        <f t="shared" si="7"/>
        <v>0</v>
      </c>
      <c r="P47" s="37">
        <v>0</v>
      </c>
      <c r="Q47" s="36">
        <f t="shared" si="8"/>
        <v>0</v>
      </c>
    </row>
    <row r="48" spans="1:17" x14ac:dyDescent="0.3">
      <c r="A48" s="30"/>
      <c r="B48" s="31"/>
      <c r="C48" s="31"/>
      <c r="D48" s="31"/>
      <c r="E48" s="18" t="s">
        <v>174</v>
      </c>
      <c r="F48" s="31" t="s">
        <v>201</v>
      </c>
      <c r="G48" s="32" t="s">
        <v>56</v>
      </c>
      <c r="H48" s="32"/>
      <c r="I48" s="33">
        <v>42905</v>
      </c>
      <c r="J48" s="34">
        <f t="shared" si="0"/>
        <v>12</v>
      </c>
      <c r="K48" s="33">
        <v>42916</v>
      </c>
      <c r="L48" s="32">
        <v>1</v>
      </c>
      <c r="M48" s="35">
        <f t="shared" si="9"/>
        <v>2.1276595744680851E-2</v>
      </c>
      <c r="N48" s="38">
        <v>0</v>
      </c>
      <c r="O48" s="36">
        <f t="shared" si="7"/>
        <v>0</v>
      </c>
      <c r="P48" s="37">
        <v>0</v>
      </c>
      <c r="Q48" s="36">
        <f t="shared" si="8"/>
        <v>0</v>
      </c>
    </row>
    <row r="49" spans="1:17" x14ac:dyDescent="0.3">
      <c r="A49" s="30"/>
      <c r="B49" s="31"/>
      <c r="C49" s="31"/>
      <c r="D49" s="31" t="s">
        <v>135</v>
      </c>
      <c r="E49" s="18" t="s">
        <v>136</v>
      </c>
      <c r="F49" s="31" t="s">
        <v>201</v>
      </c>
      <c r="G49" s="32" t="s">
        <v>199</v>
      </c>
      <c r="H49" s="32"/>
      <c r="I49" s="33">
        <v>42856</v>
      </c>
      <c r="J49" s="34">
        <f t="shared" si="0"/>
        <v>33</v>
      </c>
      <c r="K49" s="33">
        <v>42888</v>
      </c>
      <c r="L49" s="32">
        <v>1</v>
      </c>
      <c r="M49" s="35">
        <f t="shared" si="9"/>
        <v>2.1276595744680851E-2</v>
      </c>
      <c r="N49" s="38">
        <v>0</v>
      </c>
      <c r="O49" s="36">
        <f t="shared" si="7"/>
        <v>0</v>
      </c>
      <c r="P49" s="37">
        <v>0</v>
      </c>
      <c r="Q49" s="36">
        <f t="shared" si="8"/>
        <v>0</v>
      </c>
    </row>
    <row r="50" spans="1:17" x14ac:dyDescent="0.3">
      <c r="A50" s="30"/>
      <c r="B50" s="31"/>
      <c r="C50" s="31"/>
      <c r="D50" s="31"/>
      <c r="E50" s="18" t="s">
        <v>137</v>
      </c>
      <c r="F50" s="31" t="s">
        <v>201</v>
      </c>
      <c r="G50" s="32" t="s">
        <v>199</v>
      </c>
      <c r="H50" s="32"/>
      <c r="I50" s="33">
        <v>42891</v>
      </c>
      <c r="J50" s="34">
        <f t="shared" si="0"/>
        <v>26</v>
      </c>
      <c r="K50" s="33">
        <v>42916</v>
      </c>
      <c r="L50" s="32">
        <v>1</v>
      </c>
      <c r="M50" s="35">
        <f t="shared" si="9"/>
        <v>2.1276595744680851E-2</v>
      </c>
      <c r="N50" s="38">
        <v>0</v>
      </c>
      <c r="O50" s="36">
        <f t="shared" si="7"/>
        <v>0</v>
      </c>
      <c r="P50" s="37">
        <v>0</v>
      </c>
      <c r="Q50" s="36">
        <f t="shared" si="8"/>
        <v>0</v>
      </c>
    </row>
    <row r="51" spans="1:17" x14ac:dyDescent="0.3">
      <c r="A51" s="30"/>
      <c r="B51" s="31"/>
      <c r="C51" s="31"/>
      <c r="D51" s="31"/>
      <c r="E51" s="18" t="s">
        <v>138</v>
      </c>
      <c r="F51" s="31" t="s">
        <v>201</v>
      </c>
      <c r="G51" s="32" t="s">
        <v>172</v>
      </c>
      <c r="H51" s="32"/>
      <c r="I51" s="33">
        <v>42856</v>
      </c>
      <c r="J51" s="34">
        <f t="shared" si="0"/>
        <v>19</v>
      </c>
      <c r="K51" s="33">
        <v>42874</v>
      </c>
      <c r="L51" s="32">
        <v>1</v>
      </c>
      <c r="M51" s="35">
        <f t="shared" si="9"/>
        <v>2.1276595744680851E-2</v>
      </c>
      <c r="N51" s="38">
        <v>0</v>
      </c>
      <c r="O51" s="36">
        <f t="shared" si="7"/>
        <v>0</v>
      </c>
      <c r="P51" s="37">
        <v>0</v>
      </c>
      <c r="Q51" s="36">
        <f t="shared" si="8"/>
        <v>0</v>
      </c>
    </row>
    <row r="52" spans="1:17" x14ac:dyDescent="0.3">
      <c r="A52" s="30"/>
      <c r="B52" s="31"/>
      <c r="C52" s="31"/>
      <c r="D52" s="31"/>
      <c r="E52" s="18" t="s">
        <v>139</v>
      </c>
      <c r="F52" s="31" t="s">
        <v>201</v>
      </c>
      <c r="G52" s="32" t="s">
        <v>172</v>
      </c>
      <c r="H52" s="32"/>
      <c r="I52" s="33">
        <v>42877</v>
      </c>
      <c r="J52" s="34">
        <f t="shared" si="0"/>
        <v>5</v>
      </c>
      <c r="K52" s="33">
        <v>42881</v>
      </c>
      <c r="L52" s="32">
        <v>1</v>
      </c>
      <c r="M52" s="35">
        <f t="shared" si="9"/>
        <v>2.1276595744680851E-2</v>
      </c>
      <c r="N52" s="38">
        <v>0</v>
      </c>
      <c r="O52" s="36">
        <f t="shared" si="7"/>
        <v>0</v>
      </c>
      <c r="P52" s="37">
        <v>0</v>
      </c>
      <c r="Q52" s="36">
        <f t="shared" si="8"/>
        <v>0</v>
      </c>
    </row>
    <row r="53" spans="1:17" x14ac:dyDescent="0.3">
      <c r="A53" s="30"/>
      <c r="B53" s="31"/>
      <c r="C53" s="31"/>
      <c r="D53" s="31"/>
      <c r="E53" s="18" t="s">
        <v>140</v>
      </c>
      <c r="F53" s="31" t="s">
        <v>201</v>
      </c>
      <c r="G53" s="32" t="s">
        <v>172</v>
      </c>
      <c r="H53" s="32"/>
      <c r="I53" s="33">
        <v>42884</v>
      </c>
      <c r="J53" s="34">
        <f t="shared" si="0"/>
        <v>5</v>
      </c>
      <c r="K53" s="33">
        <v>42888</v>
      </c>
      <c r="L53" s="32">
        <v>1</v>
      </c>
      <c r="M53" s="35">
        <f t="shared" si="9"/>
        <v>2.1276595744680851E-2</v>
      </c>
      <c r="N53" s="38">
        <v>0</v>
      </c>
      <c r="O53" s="36">
        <f t="shared" si="7"/>
        <v>0</v>
      </c>
      <c r="P53" s="37">
        <v>0</v>
      </c>
      <c r="Q53" s="36">
        <f t="shared" si="8"/>
        <v>0</v>
      </c>
    </row>
    <row r="54" spans="1:17" x14ac:dyDescent="0.3">
      <c r="A54" s="30"/>
      <c r="B54" s="31"/>
      <c r="C54" s="31"/>
      <c r="D54" s="31"/>
      <c r="E54" s="18" t="s">
        <v>92</v>
      </c>
      <c r="F54" s="31" t="s">
        <v>201</v>
      </c>
      <c r="G54" s="32" t="s">
        <v>200</v>
      </c>
      <c r="H54" s="32"/>
      <c r="I54" s="33">
        <v>42856</v>
      </c>
      <c r="J54" s="34">
        <f t="shared" si="0"/>
        <v>33</v>
      </c>
      <c r="K54" s="33">
        <v>42888</v>
      </c>
      <c r="L54" s="32">
        <v>1</v>
      </c>
      <c r="M54" s="35">
        <f t="shared" si="9"/>
        <v>2.1276595744680851E-2</v>
      </c>
      <c r="N54" s="38">
        <v>0</v>
      </c>
      <c r="O54" s="36">
        <f t="shared" si="7"/>
        <v>0</v>
      </c>
      <c r="P54" s="37">
        <v>0</v>
      </c>
      <c r="Q54" s="36">
        <f t="shared" si="8"/>
        <v>0</v>
      </c>
    </row>
    <row r="55" spans="1:17" x14ac:dyDescent="0.3">
      <c r="A55" s="30"/>
      <c r="B55" s="31"/>
      <c r="C55" s="31"/>
      <c r="D55" s="31"/>
      <c r="E55" s="18" t="s">
        <v>141</v>
      </c>
      <c r="F55" s="31" t="s">
        <v>201</v>
      </c>
      <c r="G55" s="32" t="s">
        <v>200</v>
      </c>
      <c r="H55" s="32"/>
      <c r="I55" s="33">
        <v>42891</v>
      </c>
      <c r="J55" s="34">
        <f t="shared" si="0"/>
        <v>12</v>
      </c>
      <c r="K55" s="33">
        <v>42902</v>
      </c>
      <c r="L55" s="32">
        <v>1</v>
      </c>
      <c r="M55" s="35">
        <f t="shared" si="9"/>
        <v>2.1276595744680851E-2</v>
      </c>
      <c r="N55" s="38">
        <v>0</v>
      </c>
      <c r="O55" s="36">
        <f t="shared" si="7"/>
        <v>0</v>
      </c>
      <c r="P55" s="37">
        <v>0</v>
      </c>
      <c r="Q55" s="36">
        <f t="shared" si="8"/>
        <v>0</v>
      </c>
    </row>
    <row r="56" spans="1:17" x14ac:dyDescent="0.3">
      <c r="A56" s="66">
        <v>1.6</v>
      </c>
      <c r="B56" s="67"/>
      <c r="C56" s="67" t="s">
        <v>104</v>
      </c>
      <c r="D56" s="67"/>
      <c r="E56" s="68"/>
      <c r="F56" s="68"/>
      <c r="G56" s="69"/>
      <c r="H56" s="69"/>
      <c r="I56" s="70">
        <f>MIN(I57:I58)</f>
        <v>42891</v>
      </c>
      <c r="J56" s="71">
        <f t="shared" ref="J56:J58" si="10">DATEDIF(I56,K56,"YD")+1</f>
        <v>40</v>
      </c>
      <c r="K56" s="70">
        <f>MAX(K57:K58)</f>
        <v>42930</v>
      </c>
      <c r="L56" s="69">
        <f>SUM(L57:L58)</f>
        <v>2</v>
      </c>
      <c r="M56" s="72">
        <f>SUM(M57:M58)</f>
        <v>4.2553191489361701E-2</v>
      </c>
      <c r="N56" s="72"/>
      <c r="O56" s="72">
        <f>SUM(O57:O58)</f>
        <v>0</v>
      </c>
      <c r="P56" s="72"/>
      <c r="Q56" s="72">
        <f>SUM(Q57:Q58)</f>
        <v>0</v>
      </c>
    </row>
    <row r="57" spans="1:17" x14ac:dyDescent="0.3">
      <c r="A57" s="30" t="s">
        <v>46</v>
      </c>
      <c r="B57" s="31"/>
      <c r="C57" s="31"/>
      <c r="D57" s="31"/>
      <c r="E57" s="18" t="s">
        <v>202</v>
      </c>
      <c r="F57" s="18"/>
      <c r="G57" s="32" t="s">
        <v>199</v>
      </c>
      <c r="H57" s="32"/>
      <c r="I57" s="33">
        <v>42891</v>
      </c>
      <c r="J57" s="34">
        <f t="shared" si="10"/>
        <v>5</v>
      </c>
      <c r="K57" s="33">
        <v>42895</v>
      </c>
      <c r="L57" s="32">
        <v>1</v>
      </c>
      <c r="M57" s="35">
        <f>L57/$L$7</f>
        <v>2.1276595744680851E-2</v>
      </c>
      <c r="N57" s="38">
        <v>0</v>
      </c>
      <c r="O57" s="36">
        <f>M57*N57</f>
        <v>0</v>
      </c>
      <c r="P57" s="37">
        <v>0</v>
      </c>
      <c r="Q57" s="36">
        <f>M57*P57</f>
        <v>0</v>
      </c>
    </row>
    <row r="58" spans="1:17" x14ac:dyDescent="0.3">
      <c r="A58" s="30" t="s">
        <v>78</v>
      </c>
      <c r="B58" s="31"/>
      <c r="C58" s="31"/>
      <c r="D58" s="31"/>
      <c r="E58" s="18" t="s">
        <v>203</v>
      </c>
      <c r="F58" s="18"/>
      <c r="G58" s="32" t="s">
        <v>199</v>
      </c>
      <c r="H58" s="32"/>
      <c r="I58" s="33">
        <v>42926</v>
      </c>
      <c r="J58" s="34">
        <f t="shared" si="10"/>
        <v>5</v>
      </c>
      <c r="K58" s="33">
        <v>42930</v>
      </c>
      <c r="L58" s="32">
        <v>1</v>
      </c>
      <c r="M58" s="35">
        <f t="shared" ref="M58" si="11">L58/$L$7</f>
        <v>2.1276595744680851E-2</v>
      </c>
      <c r="N58" s="38">
        <v>0</v>
      </c>
      <c r="O58" s="36">
        <f>M58*N58</f>
        <v>0</v>
      </c>
      <c r="P58" s="37">
        <v>0</v>
      </c>
      <c r="Q58" s="36">
        <f>M58*P58</f>
        <v>0</v>
      </c>
    </row>
    <row r="59" spans="1:17" x14ac:dyDescent="0.3">
      <c r="A59" s="66">
        <v>1.6</v>
      </c>
      <c r="B59" s="67"/>
      <c r="C59" s="67" t="s">
        <v>66</v>
      </c>
      <c r="D59" s="67"/>
      <c r="E59" s="68"/>
      <c r="F59" s="68"/>
      <c r="G59" s="69"/>
      <c r="H59" s="69"/>
      <c r="I59" s="70">
        <f>MIN(I60:I61)</f>
        <v>42919</v>
      </c>
      <c r="J59" s="71">
        <f t="shared" si="0"/>
        <v>12</v>
      </c>
      <c r="K59" s="70">
        <f>MAX(K60:K61)</f>
        <v>42930</v>
      </c>
      <c r="L59" s="69">
        <f>SUM(L60:L61)</f>
        <v>2</v>
      </c>
      <c r="M59" s="72">
        <f>SUM(M60:M61)</f>
        <v>4.2553191489361701E-2</v>
      </c>
      <c r="N59" s="72"/>
      <c r="O59" s="72">
        <f>SUM(O60:O61)</f>
        <v>0</v>
      </c>
      <c r="P59" s="72"/>
      <c r="Q59" s="72">
        <f>SUM(Q60:Q61)</f>
        <v>0</v>
      </c>
    </row>
    <row r="60" spans="1:17" x14ac:dyDescent="0.3">
      <c r="A60" s="30" t="s">
        <v>46</v>
      </c>
      <c r="B60" s="31"/>
      <c r="C60" s="31"/>
      <c r="D60" s="31"/>
      <c r="E60" s="18" t="s">
        <v>163</v>
      </c>
      <c r="F60" s="18" t="s">
        <v>68</v>
      </c>
      <c r="G60" s="32" t="s">
        <v>169</v>
      </c>
      <c r="H60" s="32"/>
      <c r="I60" s="33">
        <v>42919</v>
      </c>
      <c r="J60" s="34">
        <f t="shared" si="0"/>
        <v>5</v>
      </c>
      <c r="K60" s="33">
        <v>42923</v>
      </c>
      <c r="L60" s="32">
        <v>1</v>
      </c>
      <c r="M60" s="35">
        <f>L60/$L$7</f>
        <v>2.1276595744680851E-2</v>
      </c>
      <c r="N60" s="38">
        <v>0</v>
      </c>
      <c r="O60" s="36">
        <f>M60*N60</f>
        <v>0</v>
      </c>
      <c r="P60" s="37">
        <v>0</v>
      </c>
      <c r="Q60" s="36">
        <f>M60*P60</f>
        <v>0</v>
      </c>
    </row>
    <row r="61" spans="1:17" x14ac:dyDescent="0.3">
      <c r="A61" s="30" t="s">
        <v>78</v>
      </c>
      <c r="B61" s="31"/>
      <c r="C61" s="31"/>
      <c r="D61" s="31"/>
      <c r="E61" s="18" t="s">
        <v>164</v>
      </c>
      <c r="F61" s="18" t="s">
        <v>68</v>
      </c>
      <c r="G61" s="32" t="s">
        <v>169</v>
      </c>
      <c r="H61" s="32"/>
      <c r="I61" s="33">
        <v>42926</v>
      </c>
      <c r="J61" s="34">
        <f t="shared" ref="J61" si="12">DATEDIF(I61,K61,"YD")+1</f>
        <v>5</v>
      </c>
      <c r="K61" s="33">
        <v>42930</v>
      </c>
      <c r="L61" s="32">
        <v>1</v>
      </c>
      <c r="M61" s="35">
        <f t="shared" ref="M61" si="13">L61/$L$7</f>
        <v>2.1276595744680851E-2</v>
      </c>
      <c r="N61" s="38">
        <v>0</v>
      </c>
      <c r="O61" s="36">
        <f>M61*N61</f>
        <v>0</v>
      </c>
      <c r="P61" s="37">
        <v>0</v>
      </c>
      <c r="Q61" s="36">
        <f>M61*P61</f>
        <v>0</v>
      </c>
    </row>
    <row r="62" spans="1:17" x14ac:dyDescent="0.3">
      <c r="A62" s="66">
        <v>1.7</v>
      </c>
      <c r="B62" s="67"/>
      <c r="C62" s="67" t="s">
        <v>67</v>
      </c>
      <c r="D62" s="67"/>
      <c r="E62" s="68"/>
      <c r="F62" s="68"/>
      <c r="G62" s="69"/>
      <c r="H62" s="69"/>
      <c r="I62" s="70">
        <f>MIN(I63:I64)</f>
        <v>42930</v>
      </c>
      <c r="J62" s="71">
        <f t="shared" si="0"/>
        <v>8</v>
      </c>
      <c r="K62" s="70">
        <f>MAX(K63:K64)</f>
        <v>42937</v>
      </c>
      <c r="L62" s="69">
        <f>SUM(L63:L64)</f>
        <v>2</v>
      </c>
      <c r="M62" s="72">
        <f>SUM(M63:M64)</f>
        <v>4.2553191489361701E-2</v>
      </c>
      <c r="N62" s="72"/>
      <c r="O62" s="72">
        <f>SUM(O63:O64)</f>
        <v>0</v>
      </c>
      <c r="P62" s="72"/>
      <c r="Q62" s="72">
        <f>SUM(Q63:Q64)</f>
        <v>0</v>
      </c>
    </row>
    <row r="63" spans="1:17" x14ac:dyDescent="0.3">
      <c r="A63" s="30" t="s">
        <v>69</v>
      </c>
      <c r="B63" s="31"/>
      <c r="C63" s="31"/>
      <c r="D63" s="31"/>
      <c r="E63" s="18" t="s">
        <v>206</v>
      </c>
      <c r="F63" s="18"/>
      <c r="G63" s="32" t="s">
        <v>205</v>
      </c>
      <c r="H63" s="32"/>
      <c r="I63" s="33">
        <v>42930</v>
      </c>
      <c r="J63" s="34">
        <f t="shared" si="0"/>
        <v>2</v>
      </c>
      <c r="K63" s="33">
        <v>42931</v>
      </c>
      <c r="L63" s="32">
        <v>1</v>
      </c>
      <c r="M63" s="35">
        <f t="shared" ref="M63" si="14">L63/$L$7</f>
        <v>2.1276595744680851E-2</v>
      </c>
      <c r="N63" s="38">
        <v>0</v>
      </c>
      <c r="O63" s="36">
        <f>M63*N63</f>
        <v>0</v>
      </c>
      <c r="P63" s="37">
        <v>0</v>
      </c>
      <c r="Q63" s="36">
        <f>M63*P63</f>
        <v>0</v>
      </c>
    </row>
    <row r="64" spans="1:17" ht="17.25" thickBot="1" x14ac:dyDescent="0.35">
      <c r="A64" s="39" t="s">
        <v>71</v>
      </c>
      <c r="B64" s="40"/>
      <c r="C64" s="40"/>
      <c r="D64" s="40"/>
      <c r="E64" s="41" t="s">
        <v>70</v>
      </c>
      <c r="F64" s="41" t="s">
        <v>204</v>
      </c>
      <c r="G64" s="42" t="s">
        <v>205</v>
      </c>
      <c r="H64" s="42"/>
      <c r="I64" s="43">
        <v>42933</v>
      </c>
      <c r="J64" s="89">
        <f t="shared" ref="J64" si="15">DATEDIF(I64,K64,"YD")+1</f>
        <v>5</v>
      </c>
      <c r="K64" s="43">
        <v>42937</v>
      </c>
      <c r="L64" s="42">
        <v>1</v>
      </c>
      <c r="M64" s="44">
        <f>L64/$L$7</f>
        <v>2.1276595744680851E-2</v>
      </c>
      <c r="N64" s="47">
        <v>0</v>
      </c>
      <c r="O64" s="45">
        <f>M64*N64</f>
        <v>0</v>
      </c>
      <c r="P64" s="46">
        <v>0</v>
      </c>
      <c r="Q64" s="45">
        <f>M64*P64</f>
        <v>0</v>
      </c>
    </row>
    <row r="65" spans="1:17" x14ac:dyDescent="0.3">
      <c r="A65" s="48"/>
      <c r="B65" s="48"/>
      <c r="C65" s="48"/>
      <c r="D65" s="48"/>
      <c r="E65" s="29"/>
      <c r="F65" s="29"/>
      <c r="G65" s="49"/>
      <c r="H65" s="49"/>
      <c r="I65" s="49"/>
      <c r="J65" s="49"/>
      <c r="K65" s="49"/>
      <c r="L65" s="50"/>
      <c r="M65" s="51"/>
      <c r="N65" s="29"/>
      <c r="O65" s="52"/>
      <c r="P65" s="52"/>
      <c r="Q65" s="52"/>
    </row>
    <row r="66" spans="1:17" x14ac:dyDescent="0.3">
      <c r="A66" s="48"/>
      <c r="B66" s="48"/>
      <c r="C66" s="48"/>
      <c r="D66" s="48"/>
      <c r="E66" s="29"/>
      <c r="F66" s="29"/>
      <c r="G66" s="49"/>
      <c r="H66" s="49"/>
      <c r="I66" s="49"/>
      <c r="J66" s="49"/>
      <c r="K66" s="49"/>
      <c r="L66" s="49"/>
      <c r="M66" s="29"/>
      <c r="N66" s="29"/>
      <c r="O66" s="52"/>
      <c r="P66" s="52"/>
      <c r="Q66" s="52"/>
    </row>
    <row r="67" spans="1:17" x14ac:dyDescent="0.3">
      <c r="A67" s="48"/>
      <c r="B67" s="48"/>
      <c r="C67" s="48"/>
      <c r="D67" s="48"/>
      <c r="E67" s="29"/>
      <c r="F67" s="29"/>
      <c r="G67" s="49"/>
      <c r="H67" s="49"/>
      <c r="I67" s="49"/>
      <c r="J67" s="49"/>
      <c r="K67" s="49"/>
      <c r="L67" s="49"/>
      <c r="M67" s="29"/>
      <c r="N67" s="29"/>
      <c r="O67" s="52"/>
      <c r="P67" s="52"/>
      <c r="Q67" s="52"/>
    </row>
    <row r="68" spans="1:17" x14ac:dyDescent="0.3">
      <c r="A68" s="48"/>
      <c r="B68" s="48"/>
      <c r="C68" s="48"/>
      <c r="D68" s="48"/>
      <c r="E68" s="29"/>
      <c r="F68" s="29"/>
      <c r="G68" s="49"/>
      <c r="H68" s="49"/>
      <c r="I68" s="49"/>
      <c r="J68" s="49"/>
      <c r="K68" s="49"/>
      <c r="L68" s="49"/>
      <c r="M68" s="29"/>
      <c r="N68" s="29"/>
      <c r="O68" s="52"/>
      <c r="P68" s="52"/>
      <c r="Q68" s="52"/>
    </row>
    <row r="69" spans="1:17" x14ac:dyDescent="0.3">
      <c r="A69" s="48"/>
      <c r="B69" s="48"/>
      <c r="C69" s="48"/>
      <c r="D69" s="48"/>
      <c r="E69" s="29"/>
      <c r="F69" s="29"/>
      <c r="G69" s="49"/>
      <c r="H69" s="49"/>
      <c r="I69" s="49"/>
      <c r="J69" s="49"/>
      <c r="K69" s="49"/>
      <c r="L69" s="49"/>
      <c r="M69" s="29"/>
      <c r="N69" s="29"/>
      <c r="O69" s="52"/>
      <c r="P69" s="52"/>
      <c r="Q69" s="52"/>
    </row>
    <row r="70" spans="1:17" x14ac:dyDescent="0.3">
      <c r="A70" s="48"/>
      <c r="B70" s="48"/>
      <c r="C70" s="48"/>
      <c r="D70" s="48"/>
      <c r="E70" s="29"/>
      <c r="F70" s="29"/>
      <c r="G70" s="49"/>
      <c r="H70" s="49"/>
      <c r="I70" s="49"/>
      <c r="J70" s="49"/>
      <c r="K70" s="49"/>
      <c r="L70" s="49"/>
      <c r="M70" s="29"/>
      <c r="N70" s="29"/>
      <c r="O70" s="52"/>
      <c r="P70" s="52"/>
      <c r="Q70" s="52"/>
    </row>
    <row r="71" spans="1:17" x14ac:dyDescent="0.3">
      <c r="A71" s="48"/>
      <c r="B71" s="48"/>
      <c r="C71" s="48"/>
      <c r="D71" s="48"/>
      <c r="E71" s="29"/>
      <c r="F71" s="29"/>
      <c r="G71" s="49"/>
      <c r="H71" s="49"/>
      <c r="I71" s="49"/>
      <c r="J71" s="49"/>
      <c r="K71" s="49"/>
      <c r="L71" s="49"/>
      <c r="M71" s="29"/>
      <c r="N71" s="29"/>
      <c r="O71" s="52"/>
      <c r="P71" s="52"/>
      <c r="Q71" s="52"/>
    </row>
    <row r="72" spans="1:17" x14ac:dyDescent="0.3">
      <c r="A72" s="48"/>
      <c r="B72" s="48"/>
      <c r="C72" s="48"/>
      <c r="D72" s="48"/>
      <c r="E72" s="29"/>
      <c r="F72" s="29"/>
      <c r="G72" s="49"/>
      <c r="H72" s="49"/>
      <c r="I72" s="49"/>
      <c r="J72" s="49"/>
      <c r="K72" s="49"/>
      <c r="L72" s="49"/>
      <c r="M72" s="29"/>
      <c r="N72" s="29"/>
      <c r="O72" s="52"/>
      <c r="P72" s="52"/>
      <c r="Q72" s="52"/>
    </row>
    <row r="73" spans="1:17" x14ac:dyDescent="0.3">
      <c r="A73" s="48"/>
      <c r="B73" s="48"/>
      <c r="C73" s="48"/>
      <c r="D73" s="48"/>
      <c r="E73" s="29"/>
      <c r="F73" s="29"/>
      <c r="G73" s="49"/>
      <c r="H73" s="49"/>
      <c r="I73" s="49"/>
      <c r="J73" s="49"/>
      <c r="K73" s="49"/>
      <c r="L73" s="49"/>
      <c r="M73" s="29"/>
      <c r="N73" s="29"/>
      <c r="O73" s="52"/>
      <c r="P73" s="52"/>
      <c r="Q73" s="52"/>
    </row>
    <row r="74" spans="1:17" x14ac:dyDescent="0.3">
      <c r="A74" s="48"/>
      <c r="B74" s="48"/>
      <c r="C74" s="48"/>
      <c r="D74" s="48"/>
      <c r="E74" s="29"/>
      <c r="F74" s="29"/>
      <c r="G74" s="49"/>
      <c r="H74" s="49"/>
      <c r="I74" s="49"/>
      <c r="J74" s="49"/>
      <c r="K74" s="49"/>
      <c r="L74" s="49"/>
      <c r="M74" s="29"/>
      <c r="N74" s="29"/>
      <c r="O74" s="52"/>
      <c r="P74" s="52"/>
      <c r="Q74" s="52"/>
    </row>
    <row r="75" spans="1:17" x14ac:dyDescent="0.3">
      <c r="A75" s="48"/>
      <c r="B75" s="48"/>
      <c r="C75" s="48"/>
      <c r="D75" s="48"/>
      <c r="E75" s="29"/>
      <c r="F75" s="29"/>
      <c r="G75" s="49"/>
      <c r="H75" s="49"/>
      <c r="I75" s="49"/>
      <c r="J75" s="49"/>
      <c r="K75" s="49"/>
      <c r="L75" s="49"/>
      <c r="M75" s="29"/>
      <c r="N75" s="29"/>
      <c r="O75" s="52"/>
      <c r="P75" s="52"/>
      <c r="Q75" s="52"/>
    </row>
    <row r="76" spans="1:17" x14ac:dyDescent="0.3">
      <c r="A76" s="48"/>
      <c r="B76" s="48"/>
      <c r="C76" s="48"/>
      <c r="D76" s="48"/>
      <c r="E76" s="29"/>
      <c r="F76" s="29"/>
      <c r="G76" s="49"/>
      <c r="H76" s="49"/>
      <c r="I76" s="49"/>
      <c r="J76" s="49"/>
      <c r="K76" s="49"/>
      <c r="L76" s="49"/>
      <c r="M76" s="29"/>
      <c r="N76" s="29"/>
      <c r="O76" s="52"/>
      <c r="P76" s="52"/>
      <c r="Q76" s="52"/>
    </row>
    <row r="77" spans="1:17" x14ac:dyDescent="0.3">
      <c r="A77" s="48"/>
      <c r="B77" s="48"/>
      <c r="C77" s="48"/>
      <c r="D77" s="48"/>
      <c r="E77" s="29"/>
      <c r="F77" s="29"/>
      <c r="G77" s="49"/>
      <c r="H77" s="49"/>
      <c r="I77" s="49"/>
      <c r="J77" s="49"/>
      <c r="K77" s="49"/>
      <c r="L77" s="49"/>
      <c r="M77" s="29"/>
      <c r="N77" s="29"/>
      <c r="O77" s="52"/>
      <c r="P77" s="52"/>
      <c r="Q77" s="52"/>
    </row>
    <row r="78" spans="1:17" x14ac:dyDescent="0.3">
      <c r="A78" s="48"/>
      <c r="B78" s="48"/>
      <c r="C78" s="48"/>
      <c r="D78" s="48"/>
      <c r="E78" s="29"/>
      <c r="F78" s="29"/>
      <c r="G78" s="49"/>
      <c r="H78" s="49"/>
      <c r="I78" s="49"/>
      <c r="J78" s="49"/>
      <c r="K78" s="49"/>
      <c r="L78" s="49"/>
      <c r="M78" s="29"/>
      <c r="N78" s="29"/>
      <c r="O78" s="52"/>
      <c r="P78" s="52"/>
      <c r="Q78" s="52"/>
    </row>
    <row r="79" spans="1:17" x14ac:dyDescent="0.3">
      <c r="A79" s="48"/>
      <c r="B79" s="48"/>
      <c r="C79" s="48"/>
      <c r="D79" s="48"/>
      <c r="E79" s="29"/>
      <c r="F79" s="29"/>
      <c r="G79" s="49"/>
      <c r="H79" s="49"/>
      <c r="I79" s="49"/>
      <c r="J79" s="49"/>
      <c r="K79" s="49"/>
      <c r="L79" s="49"/>
      <c r="M79" s="29"/>
      <c r="N79" s="29"/>
      <c r="O79" s="52"/>
      <c r="P79" s="52"/>
      <c r="Q79" s="52"/>
    </row>
    <row r="80" spans="1:17" x14ac:dyDescent="0.3">
      <c r="A80" s="48"/>
      <c r="B80" s="48"/>
      <c r="C80" s="48"/>
      <c r="D80" s="48"/>
      <c r="E80" s="29"/>
      <c r="F80" s="29"/>
      <c r="G80" s="49"/>
      <c r="H80" s="49"/>
      <c r="I80" s="49"/>
      <c r="J80" s="49"/>
      <c r="K80" s="49"/>
      <c r="L80" s="49"/>
      <c r="M80" s="29"/>
      <c r="N80" s="29"/>
      <c r="O80" s="52"/>
      <c r="P80" s="52"/>
      <c r="Q80" s="52"/>
    </row>
    <row r="81" spans="1:17" x14ac:dyDescent="0.3">
      <c r="A81" s="48"/>
      <c r="B81" s="48"/>
      <c r="C81" s="48"/>
      <c r="D81" s="48"/>
      <c r="E81" s="29"/>
      <c r="F81" s="29"/>
      <c r="G81" s="49"/>
      <c r="H81" s="49"/>
      <c r="I81" s="49"/>
      <c r="J81" s="49"/>
      <c r="K81" s="49"/>
      <c r="L81" s="49"/>
      <c r="M81" s="29"/>
      <c r="N81" s="29"/>
      <c r="O81" s="52"/>
      <c r="P81" s="52"/>
      <c r="Q81" s="52"/>
    </row>
    <row r="82" spans="1:17" x14ac:dyDescent="0.3">
      <c r="A82" s="48"/>
      <c r="B82" s="48"/>
      <c r="C82" s="48"/>
      <c r="D82" s="48"/>
      <c r="E82" s="29"/>
      <c r="F82" s="29"/>
      <c r="G82" s="49"/>
      <c r="H82" s="49"/>
      <c r="I82" s="49"/>
      <c r="J82" s="49"/>
      <c r="K82" s="49"/>
      <c r="L82" s="49"/>
      <c r="M82" s="29"/>
      <c r="N82" s="29"/>
      <c r="O82" s="52"/>
      <c r="P82" s="52"/>
      <c r="Q82" s="52"/>
    </row>
    <row r="83" spans="1:17" x14ac:dyDescent="0.3">
      <c r="A83" s="48"/>
      <c r="B83" s="48"/>
      <c r="C83" s="48"/>
      <c r="D83" s="48"/>
      <c r="E83" s="29"/>
      <c r="F83" s="29"/>
      <c r="G83" s="49"/>
      <c r="H83" s="49"/>
      <c r="I83" s="49"/>
      <c r="J83" s="49"/>
      <c r="K83" s="49"/>
      <c r="L83" s="49"/>
      <c r="M83" s="29"/>
      <c r="N83" s="29"/>
      <c r="O83" s="52"/>
      <c r="P83" s="52"/>
      <c r="Q83" s="52"/>
    </row>
    <row r="84" spans="1:17" x14ac:dyDescent="0.3">
      <c r="A84" s="48"/>
      <c r="B84" s="48"/>
      <c r="C84" s="48"/>
      <c r="D84" s="48"/>
      <c r="E84" s="29"/>
      <c r="F84" s="29"/>
      <c r="G84" s="49"/>
      <c r="H84" s="49"/>
      <c r="I84" s="49"/>
      <c r="J84" s="49"/>
      <c r="K84" s="49"/>
      <c r="L84" s="49"/>
      <c r="M84" s="29"/>
      <c r="N84" s="29"/>
      <c r="O84" s="52"/>
      <c r="P84" s="52"/>
      <c r="Q84" s="52"/>
    </row>
    <row r="85" spans="1:17" x14ac:dyDescent="0.3">
      <c r="A85" s="48"/>
      <c r="B85" s="48"/>
      <c r="C85" s="48"/>
      <c r="D85" s="48"/>
      <c r="E85" s="29"/>
      <c r="F85" s="29"/>
      <c r="G85" s="49"/>
      <c r="H85" s="49"/>
      <c r="I85" s="49"/>
      <c r="J85" s="49"/>
      <c r="K85" s="49"/>
      <c r="L85" s="49"/>
      <c r="M85" s="29"/>
      <c r="N85" s="29"/>
      <c r="O85" s="52"/>
      <c r="P85" s="52"/>
      <c r="Q85" s="52"/>
    </row>
    <row r="86" spans="1:17" x14ac:dyDescent="0.3">
      <c r="A86" s="48"/>
      <c r="B86" s="48"/>
      <c r="C86" s="48"/>
      <c r="D86" s="48"/>
      <c r="E86" s="29"/>
      <c r="F86" s="29"/>
      <c r="G86" s="49"/>
      <c r="H86" s="49"/>
      <c r="I86" s="49"/>
      <c r="J86" s="49"/>
      <c r="K86" s="49"/>
      <c r="L86" s="49"/>
      <c r="M86" s="29"/>
      <c r="N86" s="29"/>
      <c r="O86" s="52"/>
      <c r="P86" s="52"/>
      <c r="Q86" s="52"/>
    </row>
    <row r="87" spans="1:17" x14ac:dyDescent="0.3">
      <c r="A87" s="48"/>
      <c r="B87" s="48"/>
      <c r="C87" s="48"/>
      <c r="D87" s="48"/>
      <c r="E87" s="29"/>
      <c r="F87" s="29"/>
      <c r="G87" s="49"/>
      <c r="H87" s="49"/>
      <c r="I87" s="49"/>
      <c r="J87" s="49"/>
      <c r="K87" s="49"/>
      <c r="L87" s="49"/>
      <c r="M87" s="29"/>
      <c r="N87" s="29"/>
      <c r="O87" s="52"/>
      <c r="P87" s="52"/>
      <c r="Q87" s="52"/>
    </row>
    <row r="88" spans="1:17" x14ac:dyDescent="0.3">
      <c r="A88" s="48"/>
      <c r="B88" s="48"/>
      <c r="C88" s="48"/>
      <c r="D88" s="48"/>
      <c r="E88" s="29"/>
      <c r="F88" s="29"/>
      <c r="G88" s="49"/>
      <c r="H88" s="49"/>
      <c r="I88" s="49"/>
      <c r="J88" s="49"/>
      <c r="K88" s="49"/>
      <c r="L88" s="49"/>
      <c r="M88" s="29"/>
      <c r="N88" s="29"/>
      <c r="O88" s="52"/>
      <c r="P88" s="52"/>
      <c r="Q88" s="52"/>
    </row>
    <row r="89" spans="1:17" x14ac:dyDescent="0.3">
      <c r="A89" s="48"/>
      <c r="B89" s="48"/>
      <c r="C89" s="48"/>
      <c r="D89" s="48"/>
      <c r="E89" s="29"/>
      <c r="F89" s="29"/>
      <c r="G89" s="49"/>
      <c r="H89" s="49"/>
      <c r="I89" s="49"/>
      <c r="J89" s="49"/>
      <c r="K89" s="49"/>
      <c r="L89" s="49"/>
      <c r="M89" s="29"/>
      <c r="N89" s="29"/>
      <c r="O89" s="52"/>
      <c r="P89" s="52"/>
      <c r="Q89" s="52"/>
    </row>
    <row r="90" spans="1:17" x14ac:dyDescent="0.3">
      <c r="A90" s="48"/>
      <c r="B90" s="48"/>
      <c r="C90" s="48"/>
      <c r="D90" s="48"/>
      <c r="E90" s="29"/>
      <c r="F90" s="29"/>
      <c r="G90" s="49"/>
      <c r="H90" s="49"/>
      <c r="I90" s="49"/>
      <c r="J90" s="49"/>
      <c r="K90" s="49"/>
      <c r="L90" s="49"/>
      <c r="M90" s="29"/>
      <c r="N90" s="29"/>
      <c r="O90" s="52"/>
      <c r="P90" s="52"/>
      <c r="Q90" s="52"/>
    </row>
    <row r="91" spans="1:17" x14ac:dyDescent="0.3">
      <c r="A91" s="48"/>
      <c r="B91" s="48"/>
      <c r="C91" s="48"/>
      <c r="D91" s="48"/>
      <c r="E91" s="29"/>
      <c r="F91" s="29"/>
      <c r="G91" s="49"/>
      <c r="H91" s="49"/>
      <c r="I91" s="49"/>
      <c r="J91" s="49"/>
      <c r="K91" s="49"/>
      <c r="L91" s="49"/>
      <c r="M91" s="29"/>
      <c r="N91" s="29"/>
      <c r="O91" s="52"/>
      <c r="P91" s="52"/>
      <c r="Q91" s="52"/>
    </row>
    <row r="92" spans="1:17" x14ac:dyDescent="0.3">
      <c r="A92" s="48"/>
      <c r="B92" s="48"/>
      <c r="C92" s="48"/>
      <c r="D92" s="48"/>
      <c r="E92" s="29"/>
      <c r="F92" s="29"/>
      <c r="G92" s="49"/>
      <c r="H92" s="49"/>
      <c r="I92" s="49"/>
      <c r="J92" s="49"/>
      <c r="K92" s="49"/>
      <c r="L92" s="49"/>
      <c r="M92" s="29"/>
      <c r="N92" s="29"/>
      <c r="O92" s="52"/>
      <c r="P92" s="52"/>
      <c r="Q92" s="52"/>
    </row>
    <row r="93" spans="1:17" x14ac:dyDescent="0.3">
      <c r="A93" s="48"/>
      <c r="B93" s="48"/>
      <c r="C93" s="48"/>
      <c r="D93" s="48"/>
      <c r="E93" s="29"/>
      <c r="F93" s="29"/>
      <c r="G93" s="49"/>
      <c r="H93" s="49"/>
      <c r="I93" s="49"/>
      <c r="J93" s="49"/>
      <c r="K93" s="49"/>
      <c r="L93" s="49"/>
      <c r="M93" s="29"/>
      <c r="N93" s="29"/>
      <c r="O93" s="52"/>
      <c r="P93" s="52"/>
      <c r="Q93" s="52"/>
    </row>
    <row r="94" spans="1:17" x14ac:dyDescent="0.3">
      <c r="A94" s="48"/>
      <c r="B94" s="48"/>
      <c r="C94" s="48"/>
      <c r="D94" s="48"/>
      <c r="E94" s="29"/>
      <c r="F94" s="29"/>
      <c r="G94" s="49"/>
      <c r="H94" s="49"/>
      <c r="I94" s="49"/>
      <c r="J94" s="49"/>
      <c r="K94" s="49"/>
      <c r="L94" s="49"/>
      <c r="M94" s="29"/>
      <c r="N94" s="29"/>
      <c r="O94" s="52"/>
      <c r="P94" s="52"/>
      <c r="Q94" s="52"/>
    </row>
    <row r="95" spans="1:17" x14ac:dyDescent="0.3">
      <c r="A95" s="48"/>
      <c r="B95" s="48"/>
      <c r="C95" s="48"/>
      <c r="D95" s="48"/>
      <c r="E95" s="29"/>
      <c r="F95" s="29"/>
      <c r="G95" s="49"/>
      <c r="H95" s="49"/>
      <c r="I95" s="49"/>
      <c r="J95" s="49"/>
      <c r="K95" s="49"/>
      <c r="L95" s="49"/>
      <c r="M95" s="29"/>
      <c r="N95" s="29"/>
      <c r="O95" s="52"/>
      <c r="P95" s="52"/>
      <c r="Q95" s="52"/>
    </row>
    <row r="96" spans="1:17" x14ac:dyDescent="0.3">
      <c r="A96" s="48"/>
      <c r="B96" s="48"/>
      <c r="C96" s="48"/>
      <c r="D96" s="48"/>
      <c r="E96" s="29"/>
      <c r="F96" s="29"/>
      <c r="G96" s="49"/>
      <c r="H96" s="49"/>
      <c r="I96" s="49"/>
      <c r="J96" s="49"/>
      <c r="K96" s="49"/>
      <c r="L96" s="49"/>
      <c r="M96" s="29"/>
      <c r="N96" s="29"/>
      <c r="O96" s="52"/>
      <c r="P96" s="52"/>
      <c r="Q96" s="52"/>
    </row>
    <row r="97" spans="1:17" x14ac:dyDescent="0.3">
      <c r="A97" s="48"/>
      <c r="B97" s="48"/>
      <c r="C97" s="48"/>
      <c r="D97" s="48"/>
      <c r="E97" s="29"/>
      <c r="F97" s="29"/>
      <c r="G97" s="49"/>
      <c r="H97" s="49"/>
      <c r="I97" s="49"/>
      <c r="J97" s="49"/>
      <c r="K97" s="49"/>
      <c r="L97" s="49"/>
      <c r="M97" s="29"/>
      <c r="N97" s="29"/>
      <c r="O97" s="52"/>
      <c r="P97" s="52"/>
      <c r="Q97" s="52"/>
    </row>
    <row r="98" spans="1:17" x14ac:dyDescent="0.3">
      <c r="A98" s="48"/>
      <c r="B98" s="48"/>
      <c r="C98" s="48"/>
      <c r="D98" s="48"/>
      <c r="E98" s="29"/>
      <c r="F98" s="29"/>
      <c r="G98" s="49"/>
      <c r="H98" s="49"/>
      <c r="I98" s="49"/>
      <c r="J98" s="49"/>
      <c r="K98" s="49"/>
      <c r="L98" s="49"/>
      <c r="M98" s="29"/>
      <c r="N98" s="29"/>
      <c r="O98" s="52"/>
      <c r="P98" s="52"/>
      <c r="Q98" s="52"/>
    </row>
    <row r="99" spans="1:17" x14ac:dyDescent="0.3">
      <c r="A99" s="48"/>
      <c r="B99" s="48"/>
      <c r="C99" s="48"/>
      <c r="D99" s="48"/>
      <c r="E99" s="29"/>
      <c r="F99" s="29"/>
      <c r="G99" s="49"/>
      <c r="H99" s="49"/>
      <c r="I99" s="49"/>
      <c r="J99" s="49"/>
      <c r="K99" s="49"/>
      <c r="L99" s="49"/>
      <c r="M99" s="29"/>
      <c r="N99" s="29"/>
      <c r="O99" s="52"/>
      <c r="P99" s="52"/>
      <c r="Q99" s="52"/>
    </row>
    <row r="100" spans="1:17" x14ac:dyDescent="0.3">
      <c r="A100" s="48"/>
      <c r="B100" s="48"/>
      <c r="C100" s="48"/>
      <c r="D100" s="48"/>
      <c r="E100" s="29"/>
      <c r="F100" s="29"/>
      <c r="G100" s="49"/>
      <c r="H100" s="49"/>
      <c r="I100" s="49"/>
      <c r="J100" s="49"/>
      <c r="K100" s="49"/>
      <c r="L100" s="49"/>
      <c r="M100" s="29"/>
      <c r="N100" s="29"/>
      <c r="O100" s="52"/>
      <c r="P100" s="52"/>
      <c r="Q100" s="52"/>
    </row>
    <row r="101" spans="1:17" x14ac:dyDescent="0.3">
      <c r="A101" s="48"/>
      <c r="B101" s="48"/>
      <c r="C101" s="48"/>
      <c r="D101" s="48"/>
      <c r="E101" s="29"/>
      <c r="F101" s="29"/>
      <c r="G101" s="49"/>
      <c r="H101" s="49"/>
      <c r="I101" s="49"/>
      <c r="J101" s="49"/>
      <c r="K101" s="49"/>
      <c r="L101" s="49"/>
      <c r="M101" s="29"/>
      <c r="N101" s="29"/>
      <c r="O101" s="52"/>
      <c r="P101" s="52"/>
      <c r="Q101" s="52"/>
    </row>
    <row r="102" spans="1:17" x14ac:dyDescent="0.3">
      <c r="A102" s="48"/>
      <c r="B102" s="48"/>
      <c r="C102" s="48"/>
      <c r="D102" s="48"/>
      <c r="E102" s="29"/>
      <c r="F102" s="29"/>
      <c r="G102" s="49"/>
      <c r="H102" s="49"/>
      <c r="I102" s="49"/>
      <c r="J102" s="49"/>
      <c r="K102" s="49"/>
      <c r="L102" s="49"/>
      <c r="M102" s="29"/>
      <c r="N102" s="29"/>
      <c r="O102" s="52"/>
      <c r="P102" s="52"/>
      <c r="Q102" s="52"/>
    </row>
    <row r="103" spans="1:17" x14ac:dyDescent="0.3">
      <c r="A103" s="48"/>
      <c r="B103" s="48"/>
      <c r="C103" s="48"/>
      <c r="D103" s="48"/>
      <c r="E103" s="29"/>
      <c r="F103" s="29"/>
      <c r="G103" s="49"/>
      <c r="H103" s="49"/>
      <c r="I103" s="49"/>
      <c r="J103" s="49"/>
      <c r="K103" s="49"/>
      <c r="L103" s="49"/>
      <c r="M103" s="29"/>
      <c r="N103" s="29"/>
      <c r="O103" s="52"/>
      <c r="P103" s="52"/>
      <c r="Q103" s="52"/>
    </row>
    <row r="104" spans="1:17" x14ac:dyDescent="0.3">
      <c r="A104" s="48"/>
      <c r="B104" s="48"/>
      <c r="C104" s="48"/>
      <c r="D104" s="48"/>
      <c r="E104" s="29"/>
      <c r="F104" s="29"/>
      <c r="G104" s="49"/>
      <c r="H104" s="49"/>
      <c r="I104" s="49"/>
      <c r="J104" s="49"/>
      <c r="K104" s="49"/>
      <c r="L104" s="49"/>
      <c r="M104" s="29"/>
      <c r="N104" s="29"/>
      <c r="O104" s="52"/>
      <c r="P104" s="52"/>
      <c r="Q104" s="52"/>
    </row>
    <row r="105" spans="1:17" x14ac:dyDescent="0.3">
      <c r="A105" s="48"/>
      <c r="B105" s="48"/>
      <c r="C105" s="48"/>
      <c r="D105" s="48"/>
      <c r="E105" s="29"/>
      <c r="F105" s="29"/>
      <c r="G105" s="49"/>
      <c r="H105" s="49"/>
      <c r="I105" s="49"/>
      <c r="J105" s="49"/>
      <c r="K105" s="49"/>
      <c r="L105" s="49"/>
      <c r="M105" s="29"/>
      <c r="N105" s="29"/>
      <c r="O105" s="52"/>
      <c r="P105" s="52"/>
      <c r="Q105" s="52"/>
    </row>
    <row r="106" spans="1:17" x14ac:dyDescent="0.3">
      <c r="A106" s="48"/>
      <c r="B106" s="48"/>
      <c r="C106" s="48"/>
      <c r="D106" s="48"/>
      <c r="E106" s="29"/>
      <c r="F106" s="29"/>
      <c r="G106" s="49"/>
      <c r="H106" s="49"/>
      <c r="I106" s="49"/>
      <c r="J106" s="49"/>
      <c r="K106" s="49"/>
      <c r="L106" s="49"/>
      <c r="M106" s="29"/>
      <c r="N106" s="29"/>
      <c r="O106" s="52"/>
      <c r="P106" s="52"/>
      <c r="Q106" s="52"/>
    </row>
    <row r="107" spans="1:17" x14ac:dyDescent="0.3">
      <c r="A107" s="48"/>
      <c r="B107" s="48"/>
      <c r="C107" s="48"/>
      <c r="D107" s="48"/>
      <c r="E107" s="29"/>
      <c r="F107" s="29"/>
      <c r="G107" s="49"/>
      <c r="H107" s="49"/>
      <c r="I107" s="49"/>
      <c r="J107" s="49"/>
      <c r="K107" s="49"/>
      <c r="L107" s="49"/>
      <c r="M107" s="29"/>
      <c r="N107" s="29"/>
      <c r="O107" s="52"/>
      <c r="P107" s="52"/>
      <c r="Q107" s="52"/>
    </row>
    <row r="108" spans="1:17" x14ac:dyDescent="0.3">
      <c r="A108" s="48"/>
      <c r="B108" s="48"/>
      <c r="C108" s="48"/>
      <c r="D108" s="48"/>
      <c r="E108" s="29"/>
      <c r="F108" s="29"/>
      <c r="G108" s="49"/>
      <c r="H108" s="49"/>
      <c r="I108" s="49"/>
      <c r="J108" s="49"/>
      <c r="K108" s="49"/>
      <c r="L108" s="49"/>
      <c r="M108" s="29"/>
      <c r="N108" s="29"/>
      <c r="O108" s="52"/>
      <c r="P108" s="52"/>
      <c r="Q108" s="52"/>
    </row>
    <row r="109" spans="1:17" x14ac:dyDescent="0.3">
      <c r="A109" s="48"/>
      <c r="B109" s="48"/>
      <c r="C109" s="48"/>
      <c r="D109" s="48"/>
      <c r="E109" s="29"/>
      <c r="F109" s="29"/>
      <c r="G109" s="49"/>
      <c r="H109" s="49"/>
      <c r="I109" s="49"/>
      <c r="J109" s="49"/>
      <c r="K109" s="49"/>
      <c r="L109" s="49"/>
      <c r="M109" s="29"/>
      <c r="N109" s="29"/>
      <c r="O109" s="52"/>
      <c r="P109" s="52"/>
      <c r="Q109" s="52"/>
    </row>
    <row r="110" spans="1:17" x14ac:dyDescent="0.3">
      <c r="A110" s="48"/>
      <c r="B110" s="48"/>
      <c r="C110" s="48"/>
      <c r="D110" s="48"/>
      <c r="E110" s="29"/>
      <c r="F110" s="29"/>
      <c r="G110" s="49"/>
      <c r="H110" s="49"/>
      <c r="I110" s="49"/>
      <c r="J110" s="49"/>
      <c r="K110" s="49"/>
      <c r="L110" s="49"/>
      <c r="M110" s="29"/>
      <c r="N110" s="29"/>
      <c r="O110" s="52"/>
      <c r="P110" s="52"/>
      <c r="Q110" s="52"/>
    </row>
    <row r="111" spans="1:17" x14ac:dyDescent="0.3">
      <c r="A111" s="48"/>
      <c r="B111" s="48"/>
      <c r="C111" s="48"/>
      <c r="D111" s="48"/>
      <c r="E111" s="29"/>
      <c r="F111" s="29"/>
      <c r="G111" s="49"/>
      <c r="H111" s="49"/>
      <c r="I111" s="49"/>
      <c r="J111" s="49"/>
      <c r="K111" s="49"/>
      <c r="L111" s="49"/>
      <c r="M111" s="29"/>
      <c r="N111" s="29"/>
      <c r="O111" s="52"/>
      <c r="P111" s="52"/>
      <c r="Q111" s="52"/>
    </row>
  </sheetData>
  <autoFilter ref="G1:G111"/>
  <mergeCells count="9">
    <mergeCell ref="A4:A5"/>
    <mergeCell ref="G4:G5"/>
    <mergeCell ref="F4:F5"/>
    <mergeCell ref="N4:Q4"/>
    <mergeCell ref="F3:J3"/>
    <mergeCell ref="B4:E4"/>
    <mergeCell ref="L4:M4"/>
    <mergeCell ref="I4:K4"/>
    <mergeCell ref="B6:E6"/>
  </mergeCells>
  <phoneticPr fontId="2" type="noConversion"/>
  <printOptions horizontalCentered="1"/>
  <pageMargins left="0.59055118110236227" right="0.59055118110236227" top="0.98425196850393704" bottom="0.59055118110236227" header="0.31496062992125984" footer="0.31496062992125984"/>
  <pageSetup paperSize="9" scale="75" orientation="landscape" r:id="rId1"/>
  <headerFooter alignWithMargins="0">
    <oddFooter>&amp;LLH공사&amp;C  
- &amp;P -
&amp;R(주)유비커스</oddFooter>
  </headerFooter>
  <ignoredErrors>
    <ignoredError sqref="O10 Q10 O59 Q5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5</vt:i4>
      </vt:variant>
    </vt:vector>
  </HeadingPairs>
  <TitlesOfParts>
    <vt:vector size="9" baseType="lpstr">
      <vt:lpstr>표지 </vt:lpstr>
      <vt:lpstr>문서정보</vt:lpstr>
      <vt:lpstr>일정표</vt:lpstr>
      <vt:lpstr>WBS</vt:lpstr>
      <vt:lpstr>WBS!Print_Area</vt:lpstr>
      <vt:lpstr>일정표!Print_Area</vt:lpstr>
      <vt:lpstr>'표지 '!Print_Area</vt:lpstr>
      <vt:lpstr>WBS!Print_Titles</vt:lpstr>
      <vt:lpstr>일정표!Print_Titles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이진범</dc:creator>
  <cp:lastModifiedBy>UBICUS-141</cp:lastModifiedBy>
  <cp:lastPrinted>2017-02-13T02:37:58Z</cp:lastPrinted>
  <dcterms:created xsi:type="dcterms:W3CDTF">2006-07-14T09:05:35Z</dcterms:created>
  <dcterms:modified xsi:type="dcterms:W3CDTF">2017-04-12T07:37:43Z</dcterms:modified>
</cp:coreProperties>
</file>